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RB ADHK" sheetId="1" r:id="rId5"/>
    <sheet state="visible" name="PDRB ADHB" sheetId="2" r:id="rId6"/>
    <sheet state="visible" name="LQ ADHK" sheetId="3" r:id="rId7"/>
    <sheet state="visible" name="LQ ADHB" sheetId="4" r:id="rId8"/>
    <sheet state="visible" name="Tipologi Klassen ADHK" sheetId="5" r:id="rId9"/>
    <sheet state="visible" name="Tipologi Klassen ADHB" sheetId="6" r:id="rId10"/>
  </sheets>
  <definedNames/>
  <calcPr/>
</workbook>
</file>

<file path=xl/sharedStrings.xml><?xml version="1.0" encoding="utf-8"?>
<sst xmlns="http://schemas.openxmlformats.org/spreadsheetml/2006/main" count="270" uniqueCount="41">
  <si>
    <t>Satuan Milyar rupiah</t>
  </si>
  <si>
    <t>DIY</t>
  </si>
  <si>
    <t xml:space="preserve">Banten </t>
  </si>
  <si>
    <t>DKI Jakarta</t>
  </si>
  <si>
    <t>Jawa Barat</t>
  </si>
  <si>
    <t>Jawa Tengah</t>
  </si>
  <si>
    <t>Jawa Timur</t>
  </si>
  <si>
    <t>TOTAL JAWA</t>
  </si>
  <si>
    <t>2025**</t>
  </si>
  <si>
    <t>2025***</t>
  </si>
  <si>
    <t>Pertanian. Kehutanan. dan Perikanan</t>
  </si>
  <si>
    <t>Pertambangan dan Penggalian</t>
  </si>
  <si>
    <t>Industri Pengolahan</t>
  </si>
  <si>
    <t>Pengadaan Listrik dan Gas</t>
  </si>
  <si>
    <t>Pengadaan Air. Pengelolaan Sampah. Limbah dan Daur Ulang</t>
  </si>
  <si>
    <t>Konstruksi</t>
  </si>
  <si>
    <t>Perdagangan Besar dan Eceran; Reparasi Mobil dan Sepeda Motor</t>
  </si>
  <si>
    <t>Transportasi dan Pergudangan</t>
  </si>
  <si>
    <t>Penyediaan Akomodasi dan Makan Minum</t>
  </si>
  <si>
    <t>Informasi dan Komunikasi</t>
  </si>
  <si>
    <t>Jasa Keuangan dan Asuransi</t>
  </si>
  <si>
    <t>Real Estate</t>
  </si>
  <si>
    <t>Jasa Perusahaan</t>
  </si>
  <si>
    <t>Administrasi Pemerintahan. Pertahanan dan Jaminan Sosial Wajib</t>
  </si>
  <si>
    <t>Jasa Pendidikan</t>
  </si>
  <si>
    <t>Jasa Kesehatan dan Kegiatan Sosial</t>
  </si>
  <si>
    <t>Jasa Lainnya</t>
  </si>
  <si>
    <t>TOTAL</t>
  </si>
  <si>
    <t>Total Jawa</t>
  </si>
  <si>
    <t>2024*</t>
  </si>
  <si>
    <t>11.841.83</t>
  </si>
  <si>
    <t>51.099.95</t>
  </si>
  <si>
    <t>No Sektor</t>
  </si>
  <si>
    <t>LQ ADHK</t>
  </si>
  <si>
    <t>JAWA</t>
  </si>
  <si>
    <t>LQ</t>
  </si>
  <si>
    <t>LQ &gt; 1: Sektor Basis (Unggulan), memiliki keunggulan komparatif dan mampu mengekspor.</t>
  </si>
  <si>
    <t>LQ &lt; 1: Sektor Non-Basis, belum mampu memenuhi kebutuhan sendiri dan impor.</t>
  </si>
  <si>
    <t>LQ = 1: Sektor Netral, kebutuhan sektor setara dengan rata-rata wilayah acuan.</t>
  </si>
  <si>
    <t>LQ ADBH</t>
  </si>
  <si>
    <t>GI/G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</si>
</sst>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000"/>
  </numFmts>
  <fonts count="22">
    <font>
      <sz val="10.0"/>
      <color rgb="FF000000"/>
      <name val="Arial"/>
      <scheme val="minor"/>
    </font>
    <font>
      <b/>
      <sz val="10.0"/>
      <color rgb="FF000000"/>
      <name val="Times New Roman"/>
    </font>
    <font>
      <b/>
      <sz val="10.0"/>
      <color theme="1"/>
      <name val="Times New Roman"/>
    </font>
    <font/>
    <font>
      <sz val="10.0"/>
      <color rgb="FF000000"/>
      <name val="Times New Roman"/>
    </font>
    <font>
      <sz val="10.0"/>
      <color theme="1"/>
      <name val="Times New Roman"/>
    </font>
    <font>
      <sz val="10.0"/>
      <color rgb="FF111111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b/>
      <sz val="12.0"/>
      <color theme="1"/>
      <name val="Arial"/>
      <scheme val="minor"/>
    </font>
    <font>
      <sz val="11.0"/>
      <color rgb="FF000000"/>
      <name val="Times New Roman"/>
    </font>
    <font>
      <sz val="12.0"/>
      <color rgb="FF11111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sz val="12.0"/>
      <color theme="1"/>
      <name val="Calibri"/>
    </font>
    <font>
      <color theme="1"/>
      <name val="Times New Roman"/>
    </font>
    <font>
      <sz val="11.0"/>
      <color rgb="FF111111"/>
      <name val="Times New Roman"/>
    </font>
    <font>
      <sz val="11.0"/>
      <color theme="1"/>
      <name val="Times New Roman"/>
    </font>
    <font>
      <b/>
      <color theme="1"/>
      <name val="Times New Roman"/>
    </font>
    <font>
      <b/>
      <sz val="12.0"/>
      <color rgb="FFE6E8F0"/>
      <name val="Times New Roman"/>
    </font>
    <font>
      <b/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4" xfId="0" applyAlignment="1" applyBorder="1" applyFont="1" applyNumberForma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5" fillId="0" fontId="3" numFmtId="0" xfId="0" applyBorder="1" applyFont="1"/>
    <xf borderId="6" fillId="0" fontId="2" numFmtId="0" xfId="0" applyAlignment="1" applyBorder="1" applyFont="1">
      <alignment horizontal="center" readingOrder="0" vertical="center"/>
    </xf>
    <xf borderId="6" fillId="2" fontId="4" numFmtId="164" xfId="0" applyAlignment="1" applyBorder="1" applyFont="1" applyNumberFormat="1">
      <alignment readingOrder="0" vertical="bottom"/>
    </xf>
    <xf borderId="6" fillId="0" fontId="5" numFmtId="4" xfId="0" applyAlignment="1" applyBorder="1" applyFont="1" applyNumberFormat="1">
      <alignment horizontal="center" readingOrder="0" vertical="center"/>
    </xf>
    <xf borderId="6" fillId="0" fontId="6" numFmtId="4" xfId="0" applyAlignment="1" applyBorder="1" applyFont="1" applyNumberFormat="1">
      <alignment horizontal="center" readingOrder="0" vertical="center"/>
    </xf>
    <xf borderId="6" fillId="0" fontId="4" numFmtId="4" xfId="0" applyAlignment="1" applyBorder="1" applyFont="1" applyNumberFormat="1">
      <alignment horizontal="center" readingOrder="0" shrinkToFit="0" vertical="bottom" wrapText="0"/>
    </xf>
    <xf borderId="6" fillId="0" fontId="5" numFmtId="4" xfId="0" applyAlignment="1" applyBorder="1" applyFont="1" applyNumberFormat="1">
      <alignment horizontal="center" readingOrder="0"/>
    </xf>
    <xf borderId="6" fillId="0" fontId="5" numFmtId="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6" fillId="2" fontId="4" numFmtId="164" xfId="0" applyAlignment="1" applyBorder="1" applyFont="1" applyNumberFormat="1">
      <alignment vertical="bottom"/>
    </xf>
    <xf borderId="6" fillId="2" fontId="4" numFmtId="0" xfId="0" applyAlignment="1" applyBorder="1" applyFont="1">
      <alignment horizontal="right" readingOrder="0"/>
    </xf>
    <xf borderId="0" fillId="2" fontId="4" numFmtId="0" xfId="0" applyFont="1"/>
    <xf borderId="0" fillId="0" fontId="5" numFmtId="4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0" xfId="0" applyFont="1"/>
    <xf borderId="1" fillId="0" fontId="7" numFmtId="164" xfId="0" applyAlignment="1" applyBorder="1" applyFont="1" applyNumberFormat="1">
      <alignment horizontal="center" readingOrder="0" vertical="bottom"/>
    </xf>
    <xf borderId="2" fillId="0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6" fillId="0" fontId="8" numFmtId="0" xfId="0" applyAlignment="1" applyBorder="1" applyFont="1">
      <alignment horizontal="center" readingOrder="0" vertical="center"/>
    </xf>
    <xf borderId="6" fillId="0" fontId="10" numFmtId="164" xfId="0" applyAlignment="1" applyBorder="1" applyFont="1" applyNumberFormat="1">
      <alignment readingOrder="0" vertical="bottom"/>
    </xf>
    <xf borderId="6" fillId="0" fontId="11" numFmtId="4" xfId="0" applyAlignment="1" applyBorder="1" applyFont="1" applyNumberFormat="1">
      <alignment horizontal="center" readingOrder="0" vertical="center"/>
    </xf>
    <xf borderId="6" fillId="0" fontId="12" numFmtId="4" xfId="0" applyAlignment="1" applyBorder="1" applyFont="1" applyNumberFormat="1">
      <alignment horizontal="center" readingOrder="0" vertical="center"/>
    </xf>
    <xf borderId="6" fillId="0" fontId="13" numFmtId="4" xfId="0" applyAlignment="1" applyBorder="1" applyFont="1" applyNumberFormat="1">
      <alignment horizontal="center" readingOrder="0" shrinkToFit="0" vertical="bottom" wrapText="0"/>
    </xf>
    <xf borderId="6" fillId="0" fontId="12" numFmtId="4" xfId="0" applyAlignment="1" applyBorder="1" applyFont="1" applyNumberFormat="1">
      <alignment horizontal="center" vertical="bottom"/>
    </xf>
    <xf borderId="6" fillId="0" fontId="12" numFmtId="4" xfId="0" applyAlignment="1" applyBorder="1" applyFont="1" applyNumberFormat="1">
      <alignment horizontal="center" vertical="center"/>
    </xf>
    <xf borderId="0" fillId="0" fontId="14" numFmtId="4" xfId="0" applyAlignment="1" applyFont="1" applyNumberFormat="1">
      <alignment horizontal="center" vertical="center"/>
    </xf>
    <xf borderId="6" fillId="0" fontId="10" numFmtId="164" xfId="0" applyAlignment="1" applyBorder="1" applyFont="1" applyNumberFormat="1">
      <alignment vertical="bottom"/>
    </xf>
    <xf borderId="6" fillId="0" fontId="12" numFmtId="4" xfId="0" applyAlignment="1" applyBorder="1" applyFont="1" applyNumberFormat="1">
      <alignment horizontal="center" readingOrder="0"/>
    </xf>
    <xf borderId="6" fillId="0" fontId="10" numFmtId="0" xfId="0" applyAlignment="1" applyBorder="1" applyFont="1">
      <alignment horizontal="right" readingOrder="0"/>
    </xf>
    <xf borderId="0" fillId="0" fontId="13" numFmtId="0" xfId="0" applyFont="1"/>
    <xf borderId="0" fillId="0" fontId="14" numFmtId="0" xfId="0" applyAlignment="1" applyFont="1">
      <alignment horizontal="center" vertical="center"/>
    </xf>
    <xf borderId="0" fillId="0" fontId="15" numFmtId="4" xfId="0" applyAlignment="1" applyFont="1" applyNumberFormat="1">
      <alignment horizontal="right" vertical="bottom"/>
    </xf>
    <xf borderId="0" fillId="2" fontId="7" numFmtId="3" xfId="0" applyAlignment="1" applyFont="1" applyNumberFormat="1">
      <alignment horizontal="center" readingOrder="0" vertical="center"/>
    </xf>
    <xf borderId="1" fillId="2" fontId="7" numFmtId="164" xfId="0" applyAlignment="1" applyBorder="1" applyFont="1" applyNumberFormat="1">
      <alignment horizontal="center" readingOrder="0" vertical="center"/>
    </xf>
    <xf borderId="2" fillId="2" fontId="8" numFmtId="4" xfId="0" applyAlignment="1" applyBorder="1" applyFont="1" applyNumberFormat="1">
      <alignment horizontal="center" readingOrder="0" vertical="center"/>
    </xf>
    <xf borderId="2" fillId="2" fontId="8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vertical="center"/>
    </xf>
    <xf borderId="6" fillId="2" fontId="8" numFmtId="0" xfId="0" applyAlignment="1" applyBorder="1" applyFont="1">
      <alignment horizontal="center" readingOrder="0" vertical="center"/>
    </xf>
    <xf borderId="6" fillId="2" fontId="8" numFmtId="0" xfId="0" applyAlignment="1" applyBorder="1" applyFont="1">
      <alignment horizontal="center" readingOrder="0" shrinkToFit="0" vertical="center" wrapText="0"/>
    </xf>
    <xf borderId="0" fillId="2" fontId="13" numFmtId="3" xfId="0" applyAlignment="1" applyFont="1" applyNumberFormat="1">
      <alignment horizontal="center" readingOrder="0" vertical="bottom"/>
    </xf>
    <xf borderId="6" fillId="2" fontId="13" numFmtId="164" xfId="0" applyAlignment="1" applyBorder="1" applyFont="1" applyNumberFormat="1">
      <alignment readingOrder="0" vertical="bottom"/>
    </xf>
    <xf borderId="6" fillId="2" fontId="16" numFmtId="4" xfId="0" applyAlignment="1" applyBorder="1" applyFont="1" applyNumberFormat="1">
      <alignment horizontal="center" readingOrder="0" vertical="center"/>
    </xf>
    <xf borderId="6" fillId="2" fontId="17" numFmtId="4" xfId="0" applyAlignment="1" applyBorder="1" applyFont="1" applyNumberFormat="1">
      <alignment horizontal="center" readingOrder="0" vertical="center"/>
    </xf>
    <xf borderId="6" fillId="2" fontId="10" numFmtId="4" xfId="0" applyAlignment="1" applyBorder="1" applyFont="1" applyNumberFormat="1">
      <alignment horizontal="center" readingOrder="0" shrinkToFit="0" vertical="bottom" wrapText="0"/>
    </xf>
    <xf borderId="6" fillId="2" fontId="18" numFmtId="4" xfId="0" applyAlignment="1" applyBorder="1" applyFont="1" applyNumberFormat="1">
      <alignment horizontal="center" readingOrder="0"/>
    </xf>
    <xf borderId="6" fillId="2" fontId="16" numFmtId="4" xfId="0" applyAlignment="1" applyBorder="1" applyFont="1" applyNumberFormat="1">
      <alignment horizontal="center" readingOrder="0" shrinkToFit="0" vertical="center" wrapText="0"/>
    </xf>
    <xf borderId="6" fillId="2" fontId="13" numFmtId="4" xfId="0" applyAlignment="1" applyBorder="1" applyFont="1" applyNumberFormat="1">
      <alignment readingOrder="0" shrinkToFit="0" vertical="bottom" wrapText="0"/>
    </xf>
    <xf borderId="6" fillId="2" fontId="13" numFmtId="4" xfId="0" applyAlignment="1" applyBorder="1" applyFont="1" applyNumberFormat="1">
      <alignment horizontal="right" readingOrder="0" shrinkToFit="0" vertical="bottom" wrapText="0"/>
    </xf>
    <xf borderId="6" fillId="2" fontId="16" numFmtId="4" xfId="0" applyAlignment="1" applyBorder="1" applyFont="1" applyNumberFormat="1">
      <alignment horizontal="center" vertical="center"/>
    </xf>
    <xf borderId="0" fillId="2" fontId="16" numFmtId="0" xfId="0" applyAlignment="1" applyFont="1">
      <alignment horizontal="center" vertical="center"/>
    </xf>
    <xf borderId="0" fillId="2" fontId="13" numFmtId="3" xfId="0" applyAlignment="1" applyFont="1" applyNumberFormat="1">
      <alignment horizontal="center" vertical="bottom"/>
    </xf>
    <xf borderId="6" fillId="2" fontId="13" numFmtId="164" xfId="0" applyAlignment="1" applyBorder="1" applyFont="1" applyNumberFormat="1">
      <alignment vertical="bottom"/>
    </xf>
    <xf borderId="0" fillId="2" fontId="13" numFmtId="3" xfId="0" applyAlignment="1" applyFont="1" applyNumberFormat="1">
      <alignment horizontal="center" readingOrder="0"/>
    </xf>
    <xf borderId="0" fillId="2" fontId="13" numFmtId="0" xfId="0" applyAlignment="1" applyFont="1">
      <alignment horizontal="right" readingOrder="0"/>
    </xf>
    <xf borderId="6" fillId="2" fontId="18" numFmtId="4" xfId="0" applyAlignment="1" applyBorder="1" applyFont="1" applyNumberFormat="1">
      <alignment horizontal="center" vertical="center"/>
    </xf>
    <xf borderId="6" fillId="2" fontId="16" numFmtId="4" xfId="0" applyAlignment="1" applyBorder="1" applyFont="1" applyNumberFormat="1">
      <alignment horizontal="center" shrinkToFit="0" vertical="center" wrapText="0"/>
    </xf>
    <xf borderId="0" fillId="2" fontId="13" numFmtId="3" xfId="0" applyAlignment="1" applyFont="1" applyNumberFormat="1">
      <alignment horizontal="center"/>
    </xf>
    <xf borderId="0" fillId="2" fontId="13" numFmtId="0" xfId="0" applyFont="1"/>
    <xf borderId="0" fillId="2" fontId="16" numFmtId="4" xfId="0" applyAlignment="1" applyFont="1" applyNumberFormat="1">
      <alignment horizontal="center" vertical="center"/>
    </xf>
    <xf borderId="0" fillId="2" fontId="16" numFmtId="0" xfId="0" applyAlignment="1" applyFont="1">
      <alignment horizontal="center" shrinkToFit="0" vertical="center" wrapText="0"/>
    </xf>
    <xf borderId="0" fillId="2" fontId="16" numFmtId="3" xfId="0" applyAlignment="1" applyFont="1" applyNumberFormat="1">
      <alignment horizontal="center" readingOrder="0" vertical="center"/>
    </xf>
    <xf borderId="1" fillId="2" fontId="7" numFmtId="3" xfId="0" applyAlignment="1" applyBorder="1" applyFont="1" applyNumberForma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vertical="center"/>
    </xf>
    <xf borderId="2" fillId="2" fontId="19" numFmtId="4" xfId="0" applyAlignment="1" applyBorder="1" applyFont="1" applyNumberFormat="1">
      <alignment horizontal="center" readingOrder="0" vertical="center"/>
    </xf>
    <xf borderId="2" fillId="2" fontId="19" numFmtId="0" xfId="0" applyAlignment="1" applyBorder="1" applyFont="1">
      <alignment horizontal="center" readingOrder="0" vertical="center"/>
    </xf>
    <xf borderId="0" fillId="2" fontId="14" numFmtId="0" xfId="0" applyFont="1"/>
    <xf borderId="0" fillId="2" fontId="16" numFmtId="0" xfId="0" applyAlignment="1" applyFont="1">
      <alignment horizontal="left" shrinkToFit="0" vertical="center" wrapText="0"/>
    </xf>
    <xf borderId="6" fillId="2" fontId="19" numFmtId="0" xfId="0" applyAlignment="1" applyBorder="1" applyFont="1">
      <alignment horizontal="center" readingOrder="0" vertical="center"/>
    </xf>
    <xf borderId="6" fillId="2" fontId="13" numFmtId="3" xfId="0" applyAlignment="1" applyBorder="1" applyFont="1" applyNumberFormat="1">
      <alignment horizontal="center" readingOrder="0" vertical="bottom"/>
    </xf>
    <xf borderId="6" fillId="2" fontId="16" numFmtId="2" xfId="0" applyAlignment="1" applyBorder="1" applyFont="1" applyNumberFormat="1">
      <alignment horizontal="center" vertical="center"/>
    </xf>
    <xf borderId="0" fillId="2" fontId="16" numFmtId="0" xfId="0" applyAlignment="1" applyFont="1">
      <alignment horizontal="center" readingOrder="0" vertical="center"/>
    </xf>
    <xf borderId="0" fillId="2" fontId="14" numFmtId="0" xfId="0" applyAlignment="1" applyFont="1">
      <alignment readingOrder="0"/>
    </xf>
    <xf borderId="0" fillId="2" fontId="16" numFmtId="0" xfId="0" applyAlignment="1" applyFont="1">
      <alignment horizontal="left" readingOrder="0" shrinkToFit="0" vertical="center" wrapText="0"/>
    </xf>
    <xf borderId="0" fillId="2" fontId="13" numFmtId="164" xfId="0" applyAlignment="1" applyFont="1" applyNumberFormat="1">
      <alignment readingOrder="0" vertical="bottom"/>
    </xf>
    <xf borderId="0" fillId="2" fontId="13" numFmtId="164" xfId="0" applyAlignment="1" applyFont="1" applyNumberFormat="1">
      <alignment vertical="bottom"/>
    </xf>
    <xf borderId="6" fillId="2" fontId="13" numFmtId="3" xfId="0" applyAlignment="1" applyBorder="1" applyFont="1" applyNumberFormat="1">
      <alignment horizontal="center" readingOrder="0"/>
    </xf>
    <xf borderId="6" fillId="2" fontId="7" numFmtId="0" xfId="0" applyAlignment="1" applyBorder="1" applyFont="1">
      <alignment horizontal="right" readingOrder="0"/>
    </xf>
    <xf borderId="6" fillId="2" fontId="16" numFmtId="0" xfId="0" applyAlignment="1" applyBorder="1" applyFont="1">
      <alignment horizontal="center" vertical="center"/>
    </xf>
    <xf borderId="0" fillId="2" fontId="7" numFmtId="3" xfId="0" applyAlignment="1" applyFont="1" applyNumberFormat="1">
      <alignment horizontal="center" readingOrder="0" shrinkToFit="0" wrapText="1"/>
    </xf>
    <xf borderId="0" fillId="2" fontId="7" numFmtId="0" xfId="0" applyAlignment="1" applyFont="1">
      <alignment readingOrder="0" shrinkToFit="0" wrapText="1"/>
    </xf>
    <xf borderId="0" fillId="2" fontId="16" numFmtId="4" xfId="0" applyAlignment="1" applyFont="1" applyNumberFormat="1">
      <alignment horizontal="center" readingOrder="0" vertical="center"/>
    </xf>
    <xf borderId="0" fillId="2" fontId="20" numFmtId="3" xfId="0" applyAlignment="1" applyFont="1" applyNumberFormat="1">
      <alignment horizontal="center" readingOrder="0" shrinkToFit="0" wrapText="1"/>
    </xf>
    <xf borderId="0" fillId="2" fontId="20" numFmtId="0" xfId="0" applyAlignment="1" applyFont="1">
      <alignment readingOrder="0" shrinkToFit="0" wrapText="1"/>
    </xf>
    <xf borderId="0" fillId="2" fontId="16" numFmtId="0" xfId="0" applyFont="1"/>
    <xf borderId="1" fillId="0" fontId="7" numFmtId="164" xfId="0" applyAlignment="1" applyBorder="1" applyFont="1" applyNumberFormat="1">
      <alignment horizontal="center" readingOrder="0" vertical="center"/>
    </xf>
    <xf borderId="2" fillId="0" fontId="8" numFmtId="4" xfId="0" applyAlignment="1" applyBorder="1" applyFont="1" applyNumberFormat="1">
      <alignment horizontal="center" readingOrder="0" vertical="center"/>
    </xf>
    <xf borderId="6" fillId="0" fontId="13" numFmtId="164" xfId="0" applyAlignment="1" applyBorder="1" applyFont="1" applyNumberFormat="1">
      <alignment readingOrder="0" vertical="bottom"/>
    </xf>
    <xf borderId="6" fillId="0" fontId="13" numFmtId="164" xfId="0" applyAlignment="1" applyBorder="1" applyFont="1" applyNumberFormat="1">
      <alignment vertical="bottom"/>
    </xf>
    <xf borderId="0" fillId="0" fontId="13" numFmtId="0" xfId="0" applyAlignment="1" applyFont="1">
      <alignment horizontal="right" readingOrder="0"/>
    </xf>
    <xf borderId="0" fillId="0" fontId="16" numFmtId="4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4" numFmtId="3" xfId="0" applyAlignment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6" fillId="0" fontId="16" numFmtId="4" xfId="0" applyAlignment="1" applyBorder="1" applyFont="1" applyNumberFormat="1">
      <alignment horizontal="center" vertical="center"/>
    </xf>
    <xf borderId="6" fillId="0" fontId="16" numFmtId="2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6" fillId="0" fontId="13" numFmtId="0" xfId="0" applyAlignment="1" applyBorder="1" applyFont="1">
      <alignment horizontal="right" readingOrder="0"/>
    </xf>
    <xf borderId="6" fillId="0" fontId="16" numFmtId="0" xfId="0" applyAlignment="1" applyBorder="1" applyFont="1">
      <alignment horizontal="center" vertical="center"/>
    </xf>
    <xf borderId="0" fillId="0" fontId="7" numFmtId="0" xfId="0" applyAlignment="1" applyFont="1">
      <alignment readingOrder="0" shrinkToFit="0" wrapText="1"/>
    </xf>
    <xf borderId="0" fillId="2" fontId="13" numFmtId="0" xfId="0" applyAlignment="1" applyFont="1">
      <alignment readingOrder="0" shrinkToFit="0" vertical="bottom" wrapText="0"/>
    </xf>
    <xf borderId="2" fillId="2" fontId="16" numFmtId="4" xfId="0" applyAlignment="1" applyBorder="1" applyFont="1" applyNumberFormat="1">
      <alignment horizontal="center" readingOrder="0" vertical="center"/>
    </xf>
    <xf borderId="2" fillId="2" fontId="16" numFmtId="0" xfId="0" applyAlignment="1" applyBorder="1" applyFont="1">
      <alignment horizontal="center" readingOrder="0" vertical="center"/>
    </xf>
    <xf borderId="6" fillId="2" fontId="16" numFmtId="0" xfId="0" applyAlignment="1" applyBorder="1" applyFont="1">
      <alignment horizontal="center" readingOrder="0" vertical="center"/>
    </xf>
    <xf borderId="6" fillId="2" fontId="16" numFmtId="10" xfId="0" applyAlignment="1" applyBorder="1" applyFont="1" applyNumberFormat="1">
      <alignment horizontal="center" readingOrder="0" vertical="center"/>
    </xf>
    <xf borderId="6" fillId="2" fontId="16" numFmtId="10" xfId="0" applyAlignment="1" applyBorder="1" applyFont="1" applyNumberFormat="1">
      <alignment horizontal="center" vertical="center"/>
    </xf>
    <xf borderId="0" fillId="2" fontId="16" numFmtId="0" xfId="0" applyAlignment="1" applyFont="1">
      <alignment horizontal="center"/>
    </xf>
    <xf borderId="6" fillId="2" fontId="19" numFmtId="10" xfId="0" applyAlignment="1" applyBorder="1" applyFont="1" applyNumberFormat="1">
      <alignment horizontal="center" readingOrder="0" vertical="center"/>
    </xf>
    <xf borderId="6" fillId="2" fontId="16" numFmtId="165" xfId="0" applyAlignment="1" applyBorder="1" applyFont="1" applyNumberFormat="1">
      <alignment horizontal="center" vertical="center"/>
    </xf>
    <xf borderId="6" fillId="2" fontId="19" numFmtId="10" xfId="0" applyAlignment="1" applyBorder="1" applyFont="1" applyNumberFormat="1">
      <alignment horizontal="center" vertical="center"/>
    </xf>
    <xf borderId="6" fillId="2" fontId="13" numFmtId="0" xfId="0" applyAlignment="1" applyBorder="1" applyFont="1">
      <alignment horizontal="right" readingOrder="0"/>
    </xf>
    <xf borderId="0" fillId="2" fontId="14" numFmtId="164" xfId="0" applyAlignment="1" applyFont="1" applyNumberFormat="1">
      <alignment readingOrder="0"/>
    </xf>
    <xf borderId="0" fillId="2" fontId="14" numFmtId="164" xfId="0" applyFont="1" applyNumberFormat="1"/>
    <xf borderId="2" fillId="0" fontId="16" numFmtId="4" xfId="0" applyAlignment="1" applyBorder="1" applyFont="1" applyNumberForma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center"/>
    </xf>
    <xf borderId="6" fillId="0" fontId="16" numFmtId="4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readingOrder="0" shrinkToFit="0" vertical="bottom" wrapText="0"/>
    </xf>
    <xf borderId="0" fillId="0" fontId="16" numFmtId="3" xfId="0" applyAlignment="1" applyFont="1" applyNumberFormat="1">
      <alignment horizontal="center" readingOrder="0" vertical="center"/>
    </xf>
    <xf borderId="6" fillId="0" fontId="16" numFmtId="10" xfId="0" applyAlignment="1" applyBorder="1" applyFont="1" applyNumberFormat="1">
      <alignment horizontal="center" readingOrder="0" vertical="center"/>
    </xf>
    <xf borderId="6" fillId="0" fontId="16" numFmtId="10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44</xdr:row>
      <xdr:rowOff>114300</xdr:rowOff>
    </xdr:from>
    <xdr:ext cx="3810000" cy="21717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60.5"/>
    <col customWidth="1" min="2" max="2" width="12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4"/>
      <c r="J1" s="5" t="s">
        <v>3</v>
      </c>
      <c r="K1" s="3"/>
      <c r="L1" s="3"/>
      <c r="M1" s="4"/>
      <c r="N1" s="5" t="s">
        <v>4</v>
      </c>
      <c r="O1" s="3"/>
      <c r="P1" s="3"/>
      <c r="Q1" s="4"/>
      <c r="R1" s="5" t="s">
        <v>5</v>
      </c>
      <c r="S1" s="3"/>
      <c r="T1" s="3"/>
      <c r="U1" s="4"/>
      <c r="V1" s="5" t="s">
        <v>6</v>
      </c>
      <c r="W1" s="3"/>
      <c r="X1" s="3"/>
      <c r="Y1" s="4"/>
      <c r="Z1" s="5" t="s">
        <v>7</v>
      </c>
      <c r="AA1" s="3"/>
      <c r="AB1" s="3"/>
      <c r="AC1" s="4"/>
      <c r="AD1" s="6"/>
    </row>
    <row r="2">
      <c r="A2" s="7"/>
      <c r="B2" s="8">
        <v>2022.0</v>
      </c>
      <c r="C2" s="8">
        <v>2023.0</v>
      </c>
      <c r="D2" s="8">
        <v>2024.0</v>
      </c>
      <c r="E2" s="8">
        <v>2025.0</v>
      </c>
      <c r="F2" s="8">
        <v>2022.0</v>
      </c>
      <c r="G2" s="8">
        <v>2023.0</v>
      </c>
      <c r="H2" s="8">
        <v>2024.0</v>
      </c>
      <c r="I2" s="8">
        <v>2025.0</v>
      </c>
      <c r="J2" s="8">
        <v>2022.0</v>
      </c>
      <c r="K2" s="8">
        <v>2023.0</v>
      </c>
      <c r="L2" s="8">
        <v>2024.0</v>
      </c>
      <c r="M2" s="8" t="s">
        <v>8</v>
      </c>
      <c r="N2" s="8">
        <v>2022.0</v>
      </c>
      <c r="O2" s="8">
        <v>2023.0</v>
      </c>
      <c r="P2" s="8">
        <v>2024.0</v>
      </c>
      <c r="Q2" s="8" t="s">
        <v>9</v>
      </c>
      <c r="R2" s="8">
        <v>2022.0</v>
      </c>
      <c r="S2" s="8">
        <v>2023.0</v>
      </c>
      <c r="T2" s="8">
        <v>2024.0</v>
      </c>
      <c r="U2" s="8">
        <v>2025.0</v>
      </c>
      <c r="V2" s="8">
        <v>2022.0</v>
      </c>
      <c r="W2" s="8">
        <v>2023.0</v>
      </c>
      <c r="X2" s="8">
        <v>2024.0</v>
      </c>
      <c r="Y2" s="8">
        <v>2025.0</v>
      </c>
      <c r="Z2" s="8">
        <v>2022.0</v>
      </c>
      <c r="AA2" s="8">
        <v>2023.0</v>
      </c>
      <c r="AB2" s="8">
        <v>2024.0</v>
      </c>
      <c r="AC2" s="8">
        <v>2025.0</v>
      </c>
      <c r="AD2" s="6"/>
    </row>
    <row r="3">
      <c r="A3" s="9" t="s">
        <v>10</v>
      </c>
      <c r="B3" s="10">
        <v>9077.78</v>
      </c>
      <c r="C3" s="10">
        <v>9194.04</v>
      </c>
      <c r="D3" s="10">
        <v>9206.49</v>
      </c>
      <c r="E3" s="10">
        <v>9791.83</v>
      </c>
      <c r="F3" s="10">
        <v>26485.81</v>
      </c>
      <c r="G3" s="10">
        <v>26532.32</v>
      </c>
      <c r="H3" s="10">
        <v>26703.4</v>
      </c>
      <c r="I3" s="11">
        <v>29266.23</v>
      </c>
      <c r="J3" s="12">
        <v>1501.26</v>
      </c>
      <c r="K3" s="12">
        <v>1442.05</v>
      </c>
      <c r="L3" s="12">
        <v>1516.6</v>
      </c>
      <c r="M3" s="13">
        <v>1561.67</v>
      </c>
      <c r="N3" s="10">
        <v>113186.4</v>
      </c>
      <c r="O3" s="10">
        <v>113308.53</v>
      </c>
      <c r="P3" s="12">
        <v>115104.77</v>
      </c>
      <c r="Q3" s="12">
        <v>126696.5</v>
      </c>
      <c r="R3" s="10">
        <v>130762.52</v>
      </c>
      <c r="S3" s="10">
        <v>131330.54</v>
      </c>
      <c r="T3" s="10">
        <v>133162.54</v>
      </c>
      <c r="U3" s="10">
        <v>139530.4</v>
      </c>
      <c r="V3" s="10">
        <v>173747.56</v>
      </c>
      <c r="W3" s="10">
        <v>177668.37</v>
      </c>
      <c r="X3" s="10">
        <v>177809.48</v>
      </c>
      <c r="Y3" s="10">
        <v>186662.71</v>
      </c>
      <c r="Z3" s="14">
        <f t="shared" ref="Z3:AC3" si="1">B3+F3+J3+N3+R3+V3</f>
        <v>454761.33</v>
      </c>
      <c r="AA3" s="14">
        <f t="shared" si="1"/>
        <v>459475.85</v>
      </c>
      <c r="AB3" s="14">
        <f t="shared" si="1"/>
        <v>463503.28</v>
      </c>
      <c r="AC3" s="14">
        <f t="shared" si="1"/>
        <v>493509.34</v>
      </c>
      <c r="AD3" s="15"/>
    </row>
    <row r="4">
      <c r="A4" s="16" t="s">
        <v>11</v>
      </c>
      <c r="B4" s="10">
        <v>501.03</v>
      </c>
      <c r="C4" s="10">
        <v>517.33</v>
      </c>
      <c r="D4" s="10">
        <v>557.4</v>
      </c>
      <c r="E4" s="10">
        <v>591.97</v>
      </c>
      <c r="F4" s="10">
        <v>2208.48</v>
      </c>
      <c r="G4" s="10">
        <v>1844.63</v>
      </c>
      <c r="H4" s="10">
        <v>1713.75</v>
      </c>
      <c r="I4" s="11">
        <v>1728.33</v>
      </c>
      <c r="J4" s="12">
        <v>2400.31</v>
      </c>
      <c r="K4" s="12">
        <v>2094.15</v>
      </c>
      <c r="L4" s="12">
        <v>1983.75</v>
      </c>
      <c r="M4" s="13">
        <v>1830.18</v>
      </c>
      <c r="N4" s="10">
        <v>23880.32</v>
      </c>
      <c r="O4" s="10">
        <v>23857.09</v>
      </c>
      <c r="P4" s="12">
        <v>23842.6</v>
      </c>
      <c r="Q4" s="12">
        <v>23723.09</v>
      </c>
      <c r="R4" s="10">
        <v>20942.66</v>
      </c>
      <c r="S4" s="10">
        <v>21232.09</v>
      </c>
      <c r="T4" s="10">
        <v>21833.06</v>
      </c>
      <c r="U4" s="10">
        <v>22315.21</v>
      </c>
      <c r="V4" s="10">
        <v>71865.2</v>
      </c>
      <c r="W4" s="10">
        <v>73057.78</v>
      </c>
      <c r="X4" s="10">
        <v>72582.57</v>
      </c>
      <c r="Y4" s="10">
        <v>73673.07</v>
      </c>
      <c r="Z4" s="14">
        <f t="shared" ref="Z4:AC4" si="2">B4+F4+J4+N4+R4+V4</f>
        <v>121798</v>
      </c>
      <c r="AA4" s="14">
        <f t="shared" si="2"/>
        <v>122603.07</v>
      </c>
      <c r="AB4" s="14">
        <f t="shared" si="2"/>
        <v>122513.13</v>
      </c>
      <c r="AC4" s="14">
        <f t="shared" si="2"/>
        <v>123861.85</v>
      </c>
      <c r="AD4" s="15"/>
    </row>
    <row r="5">
      <c r="A5" s="16" t="s">
        <v>12</v>
      </c>
      <c r="B5" s="10">
        <v>12890.39</v>
      </c>
      <c r="C5" s="10">
        <v>13441.25</v>
      </c>
      <c r="D5" s="10">
        <v>13950.28</v>
      </c>
      <c r="E5" s="10">
        <v>14559.81</v>
      </c>
      <c r="F5" s="10">
        <v>160616.13</v>
      </c>
      <c r="G5" s="10">
        <v>169934.05</v>
      </c>
      <c r="H5" s="10">
        <v>178397.5</v>
      </c>
      <c r="I5" s="11">
        <v>187979.82</v>
      </c>
      <c r="J5" s="12">
        <v>228741.59</v>
      </c>
      <c r="K5" s="12">
        <v>232991.97</v>
      </c>
      <c r="L5" s="12">
        <v>235646.0</v>
      </c>
      <c r="M5" s="13">
        <v>239531.41</v>
      </c>
      <c r="N5" s="10">
        <v>683420.22</v>
      </c>
      <c r="O5" s="10">
        <v>715806.62</v>
      </c>
      <c r="P5" s="12">
        <v>741041.45</v>
      </c>
      <c r="Q5" s="12">
        <v>762103.15</v>
      </c>
      <c r="R5" s="10">
        <v>346169.65</v>
      </c>
      <c r="S5" s="10">
        <v>361111.03</v>
      </c>
      <c r="T5" s="10">
        <v>373837.72</v>
      </c>
      <c r="U5" s="10">
        <v>389026.51</v>
      </c>
      <c r="V5" s="10">
        <v>536394.03</v>
      </c>
      <c r="W5" s="10">
        <v>558448.65</v>
      </c>
      <c r="X5" s="10">
        <v>588598.82</v>
      </c>
      <c r="Y5" s="10">
        <v>623803.37</v>
      </c>
      <c r="Z5" s="14">
        <f t="shared" ref="Z5:AC5" si="3">B5+F5+J5+N5+R5+V5</f>
        <v>1968232.01</v>
      </c>
      <c r="AA5" s="14">
        <f t="shared" si="3"/>
        <v>2051733.57</v>
      </c>
      <c r="AB5" s="14">
        <f t="shared" si="3"/>
        <v>2131471.77</v>
      </c>
      <c r="AC5" s="14">
        <f t="shared" si="3"/>
        <v>2217004.07</v>
      </c>
      <c r="AD5" s="15"/>
    </row>
    <row r="6">
      <c r="A6" s="16" t="s">
        <v>13</v>
      </c>
      <c r="B6" s="10">
        <v>178.22</v>
      </c>
      <c r="C6" s="10">
        <v>191.26</v>
      </c>
      <c r="D6" s="10">
        <v>211.67</v>
      </c>
      <c r="E6" s="10">
        <v>221.32</v>
      </c>
      <c r="F6" s="10">
        <v>4639.58</v>
      </c>
      <c r="G6" s="10">
        <v>4571.07</v>
      </c>
      <c r="H6" s="10">
        <v>4156.25</v>
      </c>
      <c r="I6" s="11">
        <v>4248.46</v>
      </c>
      <c r="J6" s="12">
        <v>4261.4</v>
      </c>
      <c r="K6" s="12">
        <v>3961.69</v>
      </c>
      <c r="L6" s="12">
        <v>3315.23</v>
      </c>
      <c r="M6" s="13">
        <v>2901.2</v>
      </c>
      <c r="N6" s="10">
        <v>5843.37</v>
      </c>
      <c r="O6" s="10">
        <v>5854.08</v>
      </c>
      <c r="P6" s="12">
        <v>5818.98</v>
      </c>
      <c r="Q6" s="12">
        <v>5916.01</v>
      </c>
      <c r="R6" s="10">
        <v>1214.86</v>
      </c>
      <c r="S6" s="10">
        <v>1297.42</v>
      </c>
      <c r="T6" s="10">
        <v>1387.68</v>
      </c>
      <c r="U6" s="10">
        <v>1448.95</v>
      </c>
      <c r="V6" s="10">
        <v>5065.01</v>
      </c>
      <c r="W6" s="10">
        <v>6282.63</v>
      </c>
      <c r="X6" s="10">
        <v>6717.94</v>
      </c>
      <c r="Y6" s="10">
        <v>7060.88</v>
      </c>
      <c r="Z6" s="14">
        <f t="shared" ref="Z6:AC6" si="4">B6+F6+J6+N6+R6+V6</f>
        <v>21202.44</v>
      </c>
      <c r="AA6" s="14">
        <f t="shared" si="4"/>
        <v>22158.15</v>
      </c>
      <c r="AB6" s="14">
        <f t="shared" si="4"/>
        <v>21607.75</v>
      </c>
      <c r="AC6" s="14">
        <f t="shared" si="4"/>
        <v>21796.82</v>
      </c>
      <c r="AD6" s="15"/>
    </row>
    <row r="7">
      <c r="A7" s="9" t="s">
        <v>14</v>
      </c>
      <c r="B7" s="10">
        <v>114.64</v>
      </c>
      <c r="C7" s="10">
        <v>118.57</v>
      </c>
      <c r="D7" s="10">
        <v>119.62</v>
      </c>
      <c r="E7" s="10">
        <v>118.96</v>
      </c>
      <c r="F7" s="10">
        <v>512.65</v>
      </c>
      <c r="G7" s="10">
        <v>540.27</v>
      </c>
      <c r="H7" s="10">
        <v>561.21</v>
      </c>
      <c r="I7" s="11">
        <v>585.9</v>
      </c>
      <c r="J7" s="12">
        <v>777.42</v>
      </c>
      <c r="K7" s="12">
        <v>826.6</v>
      </c>
      <c r="L7" s="12">
        <v>830.59</v>
      </c>
      <c r="M7" s="13">
        <v>800.67</v>
      </c>
      <c r="N7" s="10">
        <v>1456.85</v>
      </c>
      <c r="O7" s="10">
        <v>1495.07</v>
      </c>
      <c r="P7" s="12">
        <v>1577.05</v>
      </c>
      <c r="Q7" s="12">
        <v>1618.71</v>
      </c>
      <c r="R7" s="10">
        <v>752.41</v>
      </c>
      <c r="S7" s="10">
        <v>783.02</v>
      </c>
      <c r="T7" s="10">
        <v>800.9</v>
      </c>
      <c r="U7" s="10">
        <v>811.85</v>
      </c>
      <c r="V7" s="10">
        <v>1800.78</v>
      </c>
      <c r="W7" s="10">
        <v>1853.34</v>
      </c>
      <c r="X7" s="10">
        <v>1894.78</v>
      </c>
      <c r="Y7" s="10">
        <v>1962.12</v>
      </c>
      <c r="Z7" s="14">
        <f t="shared" ref="Z7:AC7" si="5">B7+F7+J7+N7+R7+V7</f>
        <v>5414.75</v>
      </c>
      <c r="AA7" s="14">
        <f t="shared" si="5"/>
        <v>5616.87</v>
      </c>
      <c r="AB7" s="14">
        <f t="shared" si="5"/>
        <v>5784.15</v>
      </c>
      <c r="AC7" s="14">
        <f t="shared" si="5"/>
        <v>5898.21</v>
      </c>
      <c r="AD7" s="15"/>
    </row>
    <row r="8">
      <c r="A8" s="16" t="s">
        <v>15</v>
      </c>
      <c r="B8" s="10">
        <v>11193.38</v>
      </c>
      <c r="C8" s="10">
        <v>11732.07</v>
      </c>
      <c r="D8" s="10">
        <v>12713.05</v>
      </c>
      <c r="E8" s="10">
        <v>13717.54</v>
      </c>
      <c r="F8" s="10">
        <v>51944.23</v>
      </c>
      <c r="G8" s="10">
        <v>52700.7</v>
      </c>
      <c r="H8" s="10">
        <v>55803.68</v>
      </c>
      <c r="I8" s="11">
        <v>59089.91</v>
      </c>
      <c r="J8" s="12">
        <v>211217.76</v>
      </c>
      <c r="K8" s="12">
        <v>216505.24</v>
      </c>
      <c r="L8" s="12">
        <v>231632.64</v>
      </c>
      <c r="M8" s="13">
        <v>238914.21</v>
      </c>
      <c r="N8" s="10">
        <v>126184.39</v>
      </c>
      <c r="O8" s="10">
        <v>133549.61</v>
      </c>
      <c r="P8" s="12">
        <v>143014.89</v>
      </c>
      <c r="Q8" s="12">
        <v>150684.6</v>
      </c>
      <c r="R8" s="10">
        <v>108657.61</v>
      </c>
      <c r="S8" s="10">
        <v>115250.87</v>
      </c>
      <c r="T8" s="10">
        <v>124441.81</v>
      </c>
      <c r="U8" s="10">
        <v>132673.93</v>
      </c>
      <c r="V8" s="10">
        <v>162018.82</v>
      </c>
      <c r="W8" s="10">
        <v>170190.58</v>
      </c>
      <c r="X8" s="10">
        <v>181960.11</v>
      </c>
      <c r="Y8" s="10">
        <v>190304.86</v>
      </c>
      <c r="Z8" s="14">
        <f t="shared" ref="Z8:AC8" si="6">B8+F8+J8+N8+R8+V8</f>
        <v>671216.19</v>
      </c>
      <c r="AA8" s="14">
        <f t="shared" si="6"/>
        <v>699929.07</v>
      </c>
      <c r="AB8" s="14">
        <f t="shared" si="6"/>
        <v>749566.18</v>
      </c>
      <c r="AC8" s="14">
        <f t="shared" si="6"/>
        <v>785385.05</v>
      </c>
      <c r="AD8" s="15"/>
    </row>
    <row r="9">
      <c r="A9" s="16" t="s">
        <v>16</v>
      </c>
      <c r="B9" s="10">
        <v>8779.73</v>
      </c>
      <c r="C9" s="10">
        <v>9159.47</v>
      </c>
      <c r="D9" s="10">
        <v>9521.98</v>
      </c>
      <c r="E9" s="10">
        <v>10024.25</v>
      </c>
      <c r="F9" s="10">
        <v>64030.67</v>
      </c>
      <c r="G9" s="10">
        <v>66574.78</v>
      </c>
      <c r="H9" s="10">
        <v>69454.87</v>
      </c>
      <c r="I9" s="11">
        <v>72655.41</v>
      </c>
      <c r="J9" s="12">
        <v>307754.12</v>
      </c>
      <c r="K9" s="12">
        <v>321661.05</v>
      </c>
      <c r="L9" s="12">
        <v>343770.7</v>
      </c>
      <c r="M9" s="13">
        <v>362681.18</v>
      </c>
      <c r="N9" s="10">
        <v>230532.56</v>
      </c>
      <c r="O9" s="10">
        <v>240583.84</v>
      </c>
      <c r="P9" s="12">
        <v>252244.61</v>
      </c>
      <c r="Q9" s="12">
        <v>264862.53</v>
      </c>
      <c r="R9" s="10">
        <v>153670.44</v>
      </c>
      <c r="S9" s="10">
        <v>161240.41</v>
      </c>
      <c r="T9" s="10">
        <v>167931.17</v>
      </c>
      <c r="U9" s="10">
        <v>175700.39</v>
      </c>
      <c r="V9" s="10">
        <v>333626.69</v>
      </c>
      <c r="W9" s="10">
        <v>352837.67</v>
      </c>
      <c r="X9" s="10">
        <v>368875.69</v>
      </c>
      <c r="Y9" s="10">
        <v>383580.62</v>
      </c>
      <c r="Z9" s="14">
        <f t="shared" ref="Z9:AC9" si="7">B9+F9+J9+N9+R9+V9</f>
        <v>1098394.21</v>
      </c>
      <c r="AA9" s="14">
        <f t="shared" si="7"/>
        <v>1152057.22</v>
      </c>
      <c r="AB9" s="14">
        <f t="shared" si="7"/>
        <v>1211799.02</v>
      </c>
      <c r="AC9" s="14">
        <f t="shared" si="7"/>
        <v>1269504.38</v>
      </c>
      <c r="AD9" s="15"/>
    </row>
    <row r="10">
      <c r="A10" s="16" t="s">
        <v>17</v>
      </c>
      <c r="B10" s="10">
        <v>5287.74</v>
      </c>
      <c r="C10" s="10">
        <v>5822.82</v>
      </c>
      <c r="D10" s="10">
        <v>6186.17</v>
      </c>
      <c r="E10" s="10">
        <v>6530.34</v>
      </c>
      <c r="F10" s="10">
        <v>27947.76</v>
      </c>
      <c r="G10" s="10">
        <v>31433.2</v>
      </c>
      <c r="H10" s="10">
        <v>33428.91</v>
      </c>
      <c r="I10" s="11">
        <v>34833.14</v>
      </c>
      <c r="J10" s="12">
        <v>74214.76</v>
      </c>
      <c r="K10" s="12">
        <v>84642.25</v>
      </c>
      <c r="L10" s="12">
        <v>90533.4</v>
      </c>
      <c r="M10" s="13">
        <v>98400.67</v>
      </c>
      <c r="N10" s="10">
        <v>75521.57</v>
      </c>
      <c r="O10" s="10">
        <v>83777.21</v>
      </c>
      <c r="P10" s="12">
        <v>94113.89</v>
      </c>
      <c r="Q10" s="12">
        <v>104938.19</v>
      </c>
      <c r="R10" s="10">
        <v>42103.03</v>
      </c>
      <c r="S10" s="10">
        <v>45523.39</v>
      </c>
      <c r="T10" s="10">
        <v>48052.76</v>
      </c>
      <c r="U10" s="10">
        <v>51285.06</v>
      </c>
      <c r="V10" s="10">
        <v>53240.33</v>
      </c>
      <c r="W10" s="10">
        <v>60314.16</v>
      </c>
      <c r="X10" s="10">
        <v>66044.82</v>
      </c>
      <c r="Y10" s="10">
        <v>70889.1</v>
      </c>
      <c r="Z10" s="14">
        <f t="shared" ref="Z10:AC10" si="8">B10+F10+J10+N10+R10+V10</f>
        <v>278315.19</v>
      </c>
      <c r="AA10" s="14">
        <f t="shared" si="8"/>
        <v>311513.03</v>
      </c>
      <c r="AB10" s="14">
        <f t="shared" si="8"/>
        <v>338359.95</v>
      </c>
      <c r="AC10" s="14">
        <f t="shared" si="8"/>
        <v>366876.5</v>
      </c>
      <c r="AD10" s="15"/>
    </row>
    <row r="11">
      <c r="A11" s="16" t="s">
        <v>18</v>
      </c>
      <c r="B11" s="10">
        <v>10259.81</v>
      </c>
      <c r="C11" s="10">
        <v>11173.46</v>
      </c>
      <c r="D11" s="10">
        <v>12131.02</v>
      </c>
      <c r="E11" s="10">
        <v>12899.6</v>
      </c>
      <c r="F11" s="10">
        <v>12249.58</v>
      </c>
      <c r="G11" s="10">
        <v>13284.07</v>
      </c>
      <c r="H11" s="10">
        <v>14221.36</v>
      </c>
      <c r="I11" s="11">
        <v>15157.59</v>
      </c>
      <c r="J11" s="12">
        <v>91152.68</v>
      </c>
      <c r="K11" s="12">
        <v>99983.06</v>
      </c>
      <c r="L11" s="12">
        <v>108295.65</v>
      </c>
      <c r="M11" s="13">
        <v>118398.38</v>
      </c>
      <c r="N11" s="10">
        <v>42972.84</v>
      </c>
      <c r="O11" s="10">
        <v>46721.89</v>
      </c>
      <c r="P11" s="12">
        <v>49724.89</v>
      </c>
      <c r="Q11" s="12">
        <v>54866.88</v>
      </c>
      <c r="R11" s="10">
        <v>38132.45</v>
      </c>
      <c r="S11" s="10">
        <v>42417.2</v>
      </c>
      <c r="T11" s="10">
        <v>46670.27</v>
      </c>
      <c r="U11" s="10">
        <v>51617.3</v>
      </c>
      <c r="V11" s="10">
        <v>9452.21</v>
      </c>
      <c r="W11" s="10">
        <v>101732.19</v>
      </c>
      <c r="X11" s="10">
        <v>108833.45</v>
      </c>
      <c r="Y11" s="10">
        <v>117602.95</v>
      </c>
      <c r="Z11" s="14">
        <f t="shared" ref="Z11:AC11" si="9">B11+F11+J11+N11+R11+V11</f>
        <v>204219.57</v>
      </c>
      <c r="AA11" s="14">
        <f t="shared" si="9"/>
        <v>315311.87</v>
      </c>
      <c r="AB11" s="14">
        <f t="shared" si="9"/>
        <v>339876.64</v>
      </c>
      <c r="AC11" s="14">
        <f t="shared" si="9"/>
        <v>370542.7</v>
      </c>
      <c r="AD11" s="15"/>
    </row>
    <row r="12">
      <c r="A12" s="16" t="s">
        <v>19</v>
      </c>
      <c r="B12" s="10">
        <v>16907.39</v>
      </c>
      <c r="C12" s="10">
        <v>17631.3</v>
      </c>
      <c r="D12" s="10">
        <v>18396.74</v>
      </c>
      <c r="E12" s="10">
        <v>19195.07</v>
      </c>
      <c r="F12" s="10">
        <v>33161.9</v>
      </c>
      <c r="G12" s="10">
        <v>35734.64</v>
      </c>
      <c r="H12" s="10">
        <v>37823.43</v>
      </c>
      <c r="I12" s="11">
        <v>39950.35</v>
      </c>
      <c r="J12" s="12">
        <v>262247.28</v>
      </c>
      <c r="K12" s="12">
        <v>281781.27</v>
      </c>
      <c r="L12" s="12">
        <v>295297.83</v>
      </c>
      <c r="M12" s="13">
        <v>313673.07</v>
      </c>
      <c r="N12" s="10">
        <v>97480.64</v>
      </c>
      <c r="O12" s="10">
        <v>105146.0</v>
      </c>
      <c r="P12" s="12">
        <v>113765.59</v>
      </c>
      <c r="Q12" s="12">
        <v>124147.98</v>
      </c>
      <c r="R12" s="10">
        <v>63846.51</v>
      </c>
      <c r="S12" s="10">
        <v>70658.78</v>
      </c>
      <c r="T12" s="10">
        <v>77416.08</v>
      </c>
      <c r="U12" s="10">
        <v>84182.23</v>
      </c>
      <c r="V12" s="10">
        <v>119126.09</v>
      </c>
      <c r="W12" s="10">
        <v>126994.5</v>
      </c>
      <c r="X12" s="10">
        <v>135158.83</v>
      </c>
      <c r="Y12" s="10">
        <v>145374.43</v>
      </c>
      <c r="Z12" s="14">
        <f t="shared" ref="Z12:AC12" si="10">B12+F12+J12+N12+R12+V12</f>
        <v>592769.81</v>
      </c>
      <c r="AA12" s="14">
        <f t="shared" si="10"/>
        <v>637946.49</v>
      </c>
      <c r="AB12" s="14">
        <f t="shared" si="10"/>
        <v>677858.5</v>
      </c>
      <c r="AC12" s="14">
        <f t="shared" si="10"/>
        <v>726523.13</v>
      </c>
      <c r="AD12" s="15"/>
    </row>
    <row r="13">
      <c r="A13" s="16" t="s">
        <v>20</v>
      </c>
      <c r="B13" s="10">
        <v>4018.73</v>
      </c>
      <c r="C13" s="10">
        <v>4432.25</v>
      </c>
      <c r="D13" s="10">
        <v>4721.39</v>
      </c>
      <c r="E13" s="10">
        <v>4794.84</v>
      </c>
      <c r="F13" s="10">
        <v>14912.11</v>
      </c>
      <c r="G13" s="10">
        <v>14810.0</v>
      </c>
      <c r="H13" s="10">
        <v>14850.57</v>
      </c>
      <c r="I13" s="11">
        <v>14594.36</v>
      </c>
      <c r="J13" s="12">
        <v>210508.45</v>
      </c>
      <c r="K13" s="12">
        <v>221857.65</v>
      </c>
      <c r="L13" s="12">
        <v>233740.3</v>
      </c>
      <c r="M13" s="13">
        <v>242701.8</v>
      </c>
      <c r="N13" s="10">
        <v>38743.11</v>
      </c>
      <c r="O13" s="10">
        <v>40184.13</v>
      </c>
      <c r="P13" s="12">
        <v>41870.17</v>
      </c>
      <c r="Q13" s="12">
        <v>43238.82</v>
      </c>
      <c r="R13" s="10">
        <v>27690.76</v>
      </c>
      <c r="S13" s="10">
        <v>28289.1</v>
      </c>
      <c r="T13" s="10">
        <v>28899.58</v>
      </c>
      <c r="U13" s="10">
        <v>30519.47</v>
      </c>
      <c r="V13" s="10">
        <v>43096.15</v>
      </c>
      <c r="W13" s="10">
        <v>44731.09</v>
      </c>
      <c r="X13" s="10">
        <v>46473.15</v>
      </c>
      <c r="Y13" s="10">
        <v>47512.44</v>
      </c>
      <c r="Z13" s="14">
        <f t="shared" ref="Z13:AC13" si="11">B13+F13+J13+N13+R13+V13</f>
        <v>338969.31</v>
      </c>
      <c r="AA13" s="14">
        <f t="shared" si="11"/>
        <v>354304.22</v>
      </c>
      <c r="AB13" s="14">
        <f t="shared" si="11"/>
        <v>370555.16</v>
      </c>
      <c r="AC13" s="14">
        <f t="shared" si="11"/>
        <v>383361.73</v>
      </c>
      <c r="AD13" s="15"/>
    </row>
    <row r="14">
      <c r="A14" s="16" t="s">
        <v>21</v>
      </c>
      <c r="B14" s="10">
        <v>7864.69</v>
      </c>
      <c r="C14" s="10">
        <v>8155.53</v>
      </c>
      <c r="D14" s="10">
        <v>8487.82</v>
      </c>
      <c r="E14" s="10">
        <v>8831.62</v>
      </c>
      <c r="F14" s="10">
        <v>44509.24</v>
      </c>
      <c r="G14" s="10">
        <v>46071.63</v>
      </c>
      <c r="H14" s="10">
        <v>47716.22</v>
      </c>
      <c r="I14" s="11">
        <v>50549.62</v>
      </c>
      <c r="J14" s="12">
        <v>122960.43</v>
      </c>
      <c r="K14" s="12">
        <v>123874.01</v>
      </c>
      <c r="L14" s="12">
        <v>125748.53</v>
      </c>
      <c r="M14" s="13">
        <v>129233.11</v>
      </c>
      <c r="N14" s="10">
        <v>22993.05</v>
      </c>
      <c r="O14" s="10">
        <v>24426.12</v>
      </c>
      <c r="P14" s="12">
        <v>26046.99</v>
      </c>
      <c r="Q14" s="12">
        <v>28187.87</v>
      </c>
      <c r="R14" s="10">
        <v>20107.1</v>
      </c>
      <c r="S14" s="10">
        <v>21494.52</v>
      </c>
      <c r="T14" s="10">
        <v>22764.06</v>
      </c>
      <c r="U14" s="10">
        <v>24042.7</v>
      </c>
      <c r="V14" s="10">
        <v>31618.65</v>
      </c>
      <c r="W14" s="10">
        <v>32469.01</v>
      </c>
      <c r="X14" s="10">
        <v>33414.39</v>
      </c>
      <c r="Y14" s="10">
        <v>34538.09</v>
      </c>
      <c r="Z14" s="14">
        <f t="shared" ref="Z14:AC14" si="12">B14+F14+J14+N14+R14+V14</f>
        <v>250053.16</v>
      </c>
      <c r="AA14" s="14">
        <f t="shared" si="12"/>
        <v>256490.82</v>
      </c>
      <c r="AB14" s="14">
        <f t="shared" si="12"/>
        <v>264178.01</v>
      </c>
      <c r="AC14" s="14">
        <f t="shared" si="12"/>
        <v>275383.01</v>
      </c>
      <c r="AD14" s="15"/>
    </row>
    <row r="15">
      <c r="A15" s="16" t="s">
        <v>22</v>
      </c>
      <c r="B15" s="10">
        <v>1206.95</v>
      </c>
      <c r="C15" s="10">
        <v>1304.87</v>
      </c>
      <c r="D15" s="10">
        <v>1379.82</v>
      </c>
      <c r="E15" s="10">
        <v>1441.25</v>
      </c>
      <c r="F15" s="10">
        <v>4734.99</v>
      </c>
      <c r="G15" s="10">
        <v>5079.95</v>
      </c>
      <c r="H15" s="10">
        <v>5411.81</v>
      </c>
      <c r="I15" s="11">
        <v>5764.16</v>
      </c>
      <c r="J15" s="12">
        <v>160597.53</v>
      </c>
      <c r="K15" s="12">
        <v>171012.97</v>
      </c>
      <c r="L15" s="12">
        <v>179075.25</v>
      </c>
      <c r="M15" s="13">
        <v>192789.53</v>
      </c>
      <c r="N15" s="10">
        <v>6851.04</v>
      </c>
      <c r="O15" s="10">
        <v>7350.91</v>
      </c>
      <c r="P15" s="12">
        <v>7534.11</v>
      </c>
      <c r="Q15" s="12">
        <v>8226.54</v>
      </c>
      <c r="R15" s="10">
        <v>4051.19</v>
      </c>
      <c r="S15" s="10">
        <v>4344.41</v>
      </c>
      <c r="T15" s="10">
        <v>4741.92</v>
      </c>
      <c r="U15" s="10">
        <v>5114.67</v>
      </c>
      <c r="V15" s="10">
        <v>13112.65</v>
      </c>
      <c r="W15" s="10">
        <v>14196.94</v>
      </c>
      <c r="X15" s="10">
        <v>15316.23</v>
      </c>
      <c r="Y15" s="10">
        <v>16730.96</v>
      </c>
      <c r="Z15" s="14">
        <f t="shared" ref="Z15:AC15" si="13">B15+F15+J15+N15+R15+V15</f>
        <v>190554.35</v>
      </c>
      <c r="AA15" s="14">
        <f t="shared" si="13"/>
        <v>203290.05</v>
      </c>
      <c r="AB15" s="14">
        <f t="shared" si="13"/>
        <v>213459.14</v>
      </c>
      <c r="AC15" s="14">
        <f t="shared" si="13"/>
        <v>230067.11</v>
      </c>
      <c r="AD15" s="15"/>
    </row>
    <row r="16">
      <c r="A16" s="9" t="s">
        <v>23</v>
      </c>
      <c r="B16" s="10">
        <v>7497.26</v>
      </c>
      <c r="C16" s="10">
        <v>7684.43</v>
      </c>
      <c r="D16" s="10">
        <v>8181.35</v>
      </c>
      <c r="E16" s="10">
        <v>8691.93</v>
      </c>
      <c r="F16" s="10">
        <v>8129.36</v>
      </c>
      <c r="G16" s="10">
        <v>8284.55</v>
      </c>
      <c r="H16" s="10">
        <v>9670.75</v>
      </c>
      <c r="I16" s="11">
        <v>10158.72</v>
      </c>
      <c r="J16" s="12">
        <v>65903.85</v>
      </c>
      <c r="K16" s="12">
        <v>65927.42</v>
      </c>
      <c r="L16" s="12">
        <v>66748.89</v>
      </c>
      <c r="M16" s="13">
        <v>70328.04</v>
      </c>
      <c r="N16" s="10">
        <v>25710.27</v>
      </c>
      <c r="O16" s="10">
        <v>26337.53</v>
      </c>
      <c r="P16" s="12">
        <v>28635.78</v>
      </c>
      <c r="Q16" s="12">
        <v>29786.49</v>
      </c>
      <c r="R16" s="10">
        <v>24915.02</v>
      </c>
      <c r="S16" s="10">
        <v>25944.09</v>
      </c>
      <c r="T16" s="10">
        <v>27897.21</v>
      </c>
      <c r="U16" s="10">
        <v>28525.56</v>
      </c>
      <c r="V16" s="10">
        <v>35038.58</v>
      </c>
      <c r="W16" s="10">
        <v>35054.16</v>
      </c>
      <c r="X16" s="10">
        <v>37780.98</v>
      </c>
      <c r="Y16" s="10">
        <v>38572.93</v>
      </c>
      <c r="Z16" s="14">
        <f t="shared" ref="Z16:AC16" si="14">B16+F16+J16+N16+R16+V16</f>
        <v>167194.34</v>
      </c>
      <c r="AA16" s="14">
        <f t="shared" si="14"/>
        <v>169232.18</v>
      </c>
      <c r="AB16" s="14">
        <f t="shared" si="14"/>
        <v>178914.96</v>
      </c>
      <c r="AC16" s="14">
        <f t="shared" si="14"/>
        <v>186063.67</v>
      </c>
      <c r="AD16" s="15"/>
    </row>
    <row r="17">
      <c r="A17" s="16" t="s">
        <v>24</v>
      </c>
      <c r="B17" s="10">
        <v>10131.25</v>
      </c>
      <c r="C17" s="10">
        <v>10608.42</v>
      </c>
      <c r="D17" s="10">
        <v>11040.87</v>
      </c>
      <c r="E17" s="10">
        <v>11678.27</v>
      </c>
      <c r="F17" s="10">
        <v>13992.86</v>
      </c>
      <c r="G17" s="10">
        <v>14801.04</v>
      </c>
      <c r="H17" s="10">
        <v>15536.43</v>
      </c>
      <c r="I17" s="11">
        <v>16712.65</v>
      </c>
      <c r="J17" s="12">
        <v>87753.29</v>
      </c>
      <c r="K17" s="12">
        <v>88808.74</v>
      </c>
      <c r="L17" s="12">
        <v>92590.16</v>
      </c>
      <c r="M17" s="13">
        <v>98916.94</v>
      </c>
      <c r="N17" s="10">
        <v>46244.59</v>
      </c>
      <c r="O17" s="10">
        <v>48575.41</v>
      </c>
      <c r="P17" s="12">
        <v>51464.14</v>
      </c>
      <c r="Q17" s="12">
        <v>54833.43</v>
      </c>
      <c r="R17" s="10">
        <v>39589.05</v>
      </c>
      <c r="S17" s="10">
        <v>41951.57</v>
      </c>
      <c r="T17" s="10">
        <v>45530.22</v>
      </c>
      <c r="U17" s="10">
        <v>48491.96</v>
      </c>
      <c r="V17" s="10">
        <v>46578.62</v>
      </c>
      <c r="W17" s="10">
        <v>48831.68</v>
      </c>
      <c r="X17" s="10">
        <v>51180.4</v>
      </c>
      <c r="Y17" s="10">
        <v>54313.3</v>
      </c>
      <c r="Z17" s="14">
        <f t="shared" ref="Z17:AC17" si="15">B17+F17+J17+N17+R17+V17</f>
        <v>244289.66</v>
      </c>
      <c r="AA17" s="14">
        <f t="shared" si="15"/>
        <v>253576.86</v>
      </c>
      <c r="AB17" s="14">
        <f t="shared" si="15"/>
        <v>267342.22</v>
      </c>
      <c r="AC17" s="14">
        <f t="shared" si="15"/>
        <v>284946.55</v>
      </c>
      <c r="AD17" s="15"/>
    </row>
    <row r="18">
      <c r="A18" s="16" t="s">
        <v>25</v>
      </c>
      <c r="B18" s="10">
        <v>3579.58</v>
      </c>
      <c r="C18" s="10">
        <v>3805.74</v>
      </c>
      <c r="D18" s="10">
        <v>4009.28</v>
      </c>
      <c r="E18" s="10">
        <v>4299.31</v>
      </c>
      <c r="F18" s="10">
        <v>6857.86</v>
      </c>
      <c r="G18" s="10">
        <v>7355.42</v>
      </c>
      <c r="H18" s="10">
        <v>8014.95</v>
      </c>
      <c r="I18" s="11">
        <v>8264.36</v>
      </c>
      <c r="J18" s="12">
        <v>43362.28</v>
      </c>
      <c r="K18" s="12">
        <v>45901.07</v>
      </c>
      <c r="L18" s="12">
        <v>48385.48</v>
      </c>
      <c r="M18" s="13">
        <v>50863.07</v>
      </c>
      <c r="N18" s="10">
        <v>13404.19</v>
      </c>
      <c r="O18" s="10">
        <v>14189.42</v>
      </c>
      <c r="P18" s="12">
        <v>15038.14</v>
      </c>
      <c r="Q18" s="12">
        <v>16510.72</v>
      </c>
      <c r="R18" s="10">
        <v>9709.66</v>
      </c>
      <c r="S18" s="10">
        <v>10274.55</v>
      </c>
      <c r="T18" s="10">
        <v>11022.21</v>
      </c>
      <c r="U18" s="10">
        <v>11573.88</v>
      </c>
      <c r="V18" s="10">
        <v>13143.41</v>
      </c>
      <c r="W18" s="10">
        <v>13653.77</v>
      </c>
      <c r="X18" s="10">
        <v>14408.63</v>
      </c>
      <c r="Y18" s="10">
        <v>15342.46</v>
      </c>
      <c r="Z18" s="14">
        <f t="shared" ref="Z18:AC18" si="16">B18+F18+J18+N18+R18+V18</f>
        <v>90056.98</v>
      </c>
      <c r="AA18" s="14">
        <f t="shared" si="16"/>
        <v>95179.97</v>
      </c>
      <c r="AB18" s="14">
        <f t="shared" si="16"/>
        <v>100878.69</v>
      </c>
      <c r="AC18" s="14">
        <f t="shared" si="16"/>
        <v>106853.8</v>
      </c>
      <c r="AD18" s="15"/>
    </row>
    <row r="19">
      <c r="A19" s="16" t="s">
        <v>26</v>
      </c>
      <c r="B19" s="10">
        <v>3412.77</v>
      </c>
      <c r="C19" s="10">
        <v>3652.74</v>
      </c>
      <c r="D19" s="10">
        <v>3775.49</v>
      </c>
      <c r="E19" s="10">
        <v>4048.02</v>
      </c>
      <c r="F19" s="10">
        <v>7198.0</v>
      </c>
      <c r="G19" s="10">
        <v>7873.42</v>
      </c>
      <c r="H19" s="10">
        <v>8270.15</v>
      </c>
      <c r="I19" s="11">
        <v>8731.87</v>
      </c>
      <c r="J19" s="12">
        <v>78134.58</v>
      </c>
      <c r="K19" s="12">
        <v>87201.78</v>
      </c>
      <c r="L19" s="12">
        <v>91930.32</v>
      </c>
      <c r="M19" s="13">
        <v>99711.9</v>
      </c>
      <c r="N19" s="10">
        <v>35559.49</v>
      </c>
      <c r="O19" s="10">
        <v>38253.41</v>
      </c>
      <c r="P19" s="12">
        <v>41286.15</v>
      </c>
      <c r="Q19" s="12">
        <v>44975.22</v>
      </c>
      <c r="R19" s="10">
        <v>17963.16</v>
      </c>
      <c r="S19" s="10">
        <v>19294.49</v>
      </c>
      <c r="T19" s="10">
        <v>20609.68</v>
      </c>
      <c r="U19" s="10">
        <v>22288.53</v>
      </c>
      <c r="V19" s="10">
        <v>24250.11</v>
      </c>
      <c r="W19" s="10">
        <v>26492.18</v>
      </c>
      <c r="X19" s="10">
        <v>28759.88</v>
      </c>
      <c r="Y19" s="10">
        <v>31037.36</v>
      </c>
      <c r="Z19" s="14">
        <f t="shared" ref="Z19:AC19" si="17">B19+F19+J19+N19+R19+V19</f>
        <v>166518.11</v>
      </c>
      <c r="AA19" s="14">
        <f t="shared" si="17"/>
        <v>182768.02</v>
      </c>
      <c r="AB19" s="14">
        <f t="shared" si="17"/>
        <v>194631.67</v>
      </c>
      <c r="AC19" s="14">
        <f t="shared" si="17"/>
        <v>210792.9</v>
      </c>
      <c r="AD19" s="15"/>
    </row>
    <row r="20">
      <c r="A20" s="17" t="s">
        <v>27</v>
      </c>
      <c r="B20" s="14">
        <f t="shared" ref="B20:O20" si="18">SUM(B3:B19)</f>
        <v>112901.34</v>
      </c>
      <c r="C20" s="14">
        <f t="shared" si="18"/>
        <v>118625.55</v>
      </c>
      <c r="D20" s="14">
        <f t="shared" si="18"/>
        <v>124590.44</v>
      </c>
      <c r="E20" s="14">
        <f t="shared" si="18"/>
        <v>131435.93</v>
      </c>
      <c r="F20" s="14">
        <f t="shared" si="18"/>
        <v>484131.21</v>
      </c>
      <c r="G20" s="14">
        <f t="shared" si="18"/>
        <v>507425.74</v>
      </c>
      <c r="H20" s="14">
        <f t="shared" si="18"/>
        <v>531735.24</v>
      </c>
      <c r="I20" s="14">
        <f t="shared" si="18"/>
        <v>560270.88</v>
      </c>
      <c r="J20" s="14">
        <f t="shared" si="18"/>
        <v>1953488.99</v>
      </c>
      <c r="K20" s="14">
        <f t="shared" si="18"/>
        <v>2050472.97</v>
      </c>
      <c r="L20" s="14">
        <f t="shared" si="18"/>
        <v>2151041.32</v>
      </c>
      <c r="M20" s="14">
        <f t="shared" si="18"/>
        <v>2263237.03</v>
      </c>
      <c r="N20" s="14">
        <f t="shared" si="18"/>
        <v>1589984.9</v>
      </c>
      <c r="O20" s="14">
        <f t="shared" si="18"/>
        <v>1669416.87</v>
      </c>
      <c r="P20" s="12">
        <v>1752124.2</v>
      </c>
      <c r="Q20" s="14">
        <f t="shared" ref="Q20:AC20" si="19">SUM(Q3:Q19)</f>
        <v>1845316.73</v>
      </c>
      <c r="R20" s="14">
        <f t="shared" si="19"/>
        <v>1050278.08</v>
      </c>
      <c r="S20" s="14">
        <f t="shared" si="19"/>
        <v>1102437.48</v>
      </c>
      <c r="T20" s="14">
        <f t="shared" si="19"/>
        <v>1156998.87</v>
      </c>
      <c r="U20" s="14">
        <f t="shared" si="19"/>
        <v>1219148.6</v>
      </c>
      <c r="V20" s="14">
        <f t="shared" si="19"/>
        <v>1673174.89</v>
      </c>
      <c r="W20" s="14">
        <f t="shared" si="19"/>
        <v>1844808.7</v>
      </c>
      <c r="X20" s="14">
        <f t="shared" si="19"/>
        <v>1935810.15</v>
      </c>
      <c r="Y20" s="14">
        <f t="shared" si="19"/>
        <v>2038961.65</v>
      </c>
      <c r="Z20" s="14">
        <f t="shared" si="19"/>
        <v>6863959.41</v>
      </c>
      <c r="AA20" s="14">
        <f t="shared" si="19"/>
        <v>7293187.31</v>
      </c>
      <c r="AB20" s="14">
        <f t="shared" si="19"/>
        <v>7652300.22</v>
      </c>
      <c r="AC20" s="14">
        <f t="shared" si="19"/>
        <v>8058370.82</v>
      </c>
      <c r="AD20" s="15"/>
    </row>
    <row r="21">
      <c r="A21" s="18"/>
      <c r="B21" s="19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A22" s="18"/>
      <c r="B22" s="19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>
      <c r="A23" s="18"/>
      <c r="B23" s="19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20"/>
      <c r="W23" s="15"/>
      <c r="X23" s="15"/>
      <c r="Y23" s="15"/>
      <c r="Z23" s="15"/>
      <c r="AA23" s="15"/>
      <c r="AB23" s="15"/>
      <c r="AC23" s="15"/>
      <c r="AD23" s="15"/>
    </row>
    <row r="24">
      <c r="A24" s="18"/>
      <c r="B24" s="19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>
      <c r="A25" s="18"/>
      <c r="B25" s="19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>
      <c r="A26" s="18"/>
      <c r="B26" s="19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>
      <c r="A27" s="18"/>
      <c r="B27" s="19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>
      <c r="A28" s="18"/>
      <c r="B28" s="19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>
      <c r="A29" s="18"/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>
      <c r="A30" s="18"/>
      <c r="B30" s="19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>
      <c r="A31" s="18"/>
      <c r="B31" s="19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>
      <c r="A32" s="18"/>
      <c r="B32" s="19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>
      <c r="A33" s="18"/>
      <c r="B33" s="1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>
      <c r="A34" s="18"/>
      <c r="B34" s="19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>
      <c r="A35" s="18"/>
      <c r="B35" s="19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>
      <c r="A36" s="18"/>
      <c r="B36" s="19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>
      <c r="A37" s="18"/>
      <c r="B37" s="19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>
      <c r="A38" s="18"/>
      <c r="B38" s="19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>
      <c r="A39" s="18"/>
      <c r="B39" s="19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>
      <c r="A40" s="18"/>
      <c r="B40" s="19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>
      <c r="A41" s="18"/>
      <c r="B41" s="19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>
      <c r="A42" s="18"/>
      <c r="B42" s="19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>
      <c r="A43" s="18"/>
      <c r="B43" s="19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18"/>
      <c r="B44" s="19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>
      <c r="A45" s="18"/>
      <c r="B45" s="19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>
      <c r="A46" s="18"/>
      <c r="B46" s="19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>
      <c r="A47" s="18"/>
      <c r="B47" s="19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>
      <c r="A48" s="18"/>
      <c r="B48" s="19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>
      <c r="A49" s="18"/>
      <c r="B49" s="19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>
      <c r="A50" s="18"/>
      <c r="B50" s="1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>
      <c r="A51" s="18"/>
      <c r="B51" s="19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>
      <c r="A52" s="18"/>
      <c r="B52" s="19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>
      <c r="A53" s="18"/>
      <c r="B53" s="19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>
      <c r="A54" s="18"/>
      <c r="B54" s="19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>
      <c r="A55" s="18"/>
      <c r="B55" s="1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>
      <c r="A56" s="18"/>
      <c r="B56" s="19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>
      <c r="A57" s="18"/>
      <c r="B57" s="19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>
      <c r="A58" s="18"/>
      <c r="B58" s="1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>
      <c r="A59" s="18"/>
      <c r="B59" s="19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>
      <c r="A60" s="18"/>
      <c r="B60" s="19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>
      <c r="A61" s="18"/>
      <c r="B61" s="19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>
      <c r="A62" s="18"/>
      <c r="B62" s="19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>
      <c r="A63" s="18"/>
      <c r="B63" s="19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>
      <c r="A64" s="18"/>
      <c r="B64" s="19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>
      <c r="A65" s="18"/>
      <c r="B65" s="19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>
      <c r="A66" s="18"/>
      <c r="B66" s="19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>
      <c r="A67" s="18"/>
      <c r="B67" s="19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>
      <c r="A68" s="18"/>
      <c r="B68" s="19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>
      <c r="A69" s="18"/>
      <c r="B69" s="19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>
      <c r="A70" s="18"/>
      <c r="B70" s="19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>
      <c r="A71" s="18"/>
      <c r="B71" s="19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>
      <c r="A72" s="18"/>
      <c r="B72" s="19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>
      <c r="A73" s="18"/>
      <c r="B73" s="19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>
      <c r="A74" s="18"/>
      <c r="B74" s="19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>
      <c r="A75" s="18"/>
      <c r="B75" s="19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>
      <c r="A76" s="18"/>
      <c r="B76" s="19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>
      <c r="A77" s="18"/>
      <c r="B77" s="19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>
      <c r="A78" s="18"/>
      <c r="B78" s="19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>
      <c r="A79" s="18"/>
      <c r="B79" s="19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>
      <c r="A80" s="18"/>
      <c r="B80" s="19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>
      <c r="A81" s="18"/>
      <c r="B81" s="19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>
      <c r="A82" s="18"/>
      <c r="B82" s="19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>
      <c r="A83" s="18"/>
      <c r="B83" s="19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>
      <c r="A84" s="18"/>
      <c r="B84" s="19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>
      <c r="A85" s="18"/>
      <c r="B85" s="19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>
      <c r="A86" s="18"/>
      <c r="B86" s="19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>
      <c r="A87" s="18"/>
      <c r="B87" s="19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>
      <c r="A88" s="18"/>
      <c r="B88" s="19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>
      <c r="A89" s="18"/>
      <c r="B89" s="19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>
      <c r="A90" s="18"/>
      <c r="B90" s="19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>
      <c r="A91" s="18"/>
      <c r="B91" s="19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>
      <c r="A92" s="18"/>
      <c r="B92" s="19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>
      <c r="A93" s="18"/>
      <c r="B93" s="19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>
      <c r="A94" s="18"/>
      <c r="B94" s="19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>
      <c r="A95" s="18"/>
      <c r="B95" s="19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>
      <c r="A96" s="18"/>
      <c r="B96" s="19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>
      <c r="A97" s="18"/>
      <c r="B97" s="19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>
      <c r="A98" s="18"/>
      <c r="B98" s="19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>
      <c r="A99" s="18"/>
      <c r="B99" s="19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>
      <c r="A100" s="18"/>
      <c r="B100" s="19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>
      <c r="A101" s="18"/>
      <c r="B101" s="19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>
      <c r="A102" s="18"/>
      <c r="B102" s="19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>
      <c r="A103" s="18"/>
      <c r="B103" s="19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>
      <c r="A104" s="18"/>
      <c r="B104" s="19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>
      <c r="A105" s="18"/>
      <c r="B105" s="19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>
      <c r="A106" s="18"/>
      <c r="B106" s="19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>
      <c r="A107" s="18"/>
      <c r="B107" s="19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>
      <c r="A108" s="18"/>
      <c r="B108" s="19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>
      <c r="A109" s="18"/>
      <c r="B109" s="19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>
      <c r="A110" s="18"/>
      <c r="B110" s="19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>
      <c r="A111" s="18"/>
      <c r="B111" s="19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>
      <c r="A112" s="18"/>
      <c r="B112" s="19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>
      <c r="A113" s="18"/>
      <c r="B113" s="19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>
      <c r="A114" s="18"/>
      <c r="B114" s="19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>
      <c r="A115" s="18"/>
      <c r="B115" s="19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>
      <c r="A116" s="18"/>
      <c r="B116" s="19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>
      <c r="A117" s="18"/>
      <c r="B117" s="19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>
      <c r="A118" s="18"/>
      <c r="B118" s="19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>
      <c r="A119" s="18"/>
      <c r="B119" s="19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>
      <c r="A120" s="18"/>
      <c r="B120" s="19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>
      <c r="A121" s="18"/>
      <c r="B121" s="19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>
      <c r="A122" s="18"/>
      <c r="B122" s="19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>
      <c r="A123" s="18"/>
      <c r="B123" s="19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>
      <c r="A124" s="18"/>
      <c r="B124" s="19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>
      <c r="A125" s="18"/>
      <c r="B125" s="19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>
      <c r="A126" s="18"/>
      <c r="B126" s="19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>
      <c r="A127" s="18"/>
      <c r="B127" s="19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>
      <c r="A128" s="18"/>
      <c r="B128" s="19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>
      <c r="A129" s="18"/>
      <c r="B129" s="19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>
      <c r="A130" s="18"/>
      <c r="B130" s="19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>
      <c r="A131" s="18"/>
      <c r="B131" s="19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>
      <c r="A132" s="18"/>
      <c r="B132" s="19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>
      <c r="A133" s="18"/>
      <c r="B133" s="19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>
      <c r="A134" s="18"/>
      <c r="B134" s="19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>
      <c r="A135" s="18"/>
      <c r="B135" s="19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>
      <c r="A136" s="18"/>
      <c r="B136" s="19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>
      <c r="A137" s="18"/>
      <c r="B137" s="19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>
      <c r="A138" s="18"/>
      <c r="B138" s="19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>
      <c r="A139" s="18"/>
      <c r="B139" s="19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>
      <c r="A140" s="18"/>
      <c r="B140" s="19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>
      <c r="A141" s="18"/>
      <c r="B141" s="19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>
      <c r="A142" s="18"/>
      <c r="B142" s="19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>
      <c r="A143" s="18"/>
      <c r="B143" s="19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>
      <c r="A144" s="18"/>
      <c r="B144" s="19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>
      <c r="A145" s="18"/>
      <c r="B145" s="19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>
      <c r="A146" s="18"/>
      <c r="B146" s="19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>
      <c r="A147" s="18"/>
      <c r="B147" s="19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>
      <c r="A148" s="18"/>
      <c r="B148" s="19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>
      <c r="A149" s="18"/>
      <c r="B149" s="19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>
      <c r="A150" s="18"/>
      <c r="B150" s="19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>
      <c r="A151" s="18"/>
      <c r="B151" s="19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>
      <c r="A152" s="18"/>
      <c r="B152" s="19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>
      <c r="A153" s="18"/>
      <c r="B153" s="19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>
      <c r="A154" s="18"/>
      <c r="B154" s="19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>
      <c r="A155" s="18"/>
      <c r="B155" s="19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>
      <c r="A156" s="18"/>
      <c r="B156" s="19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>
      <c r="A157" s="18"/>
      <c r="B157" s="19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>
      <c r="A158" s="18"/>
      <c r="B158" s="19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>
      <c r="A159" s="18"/>
      <c r="B159" s="19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>
      <c r="A160" s="18"/>
      <c r="B160" s="19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>
      <c r="A161" s="18"/>
      <c r="B161" s="19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>
      <c r="A162" s="18"/>
      <c r="B162" s="19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>
      <c r="A163" s="18"/>
      <c r="B163" s="19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>
      <c r="A164" s="18"/>
      <c r="B164" s="19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>
      <c r="A165" s="18"/>
      <c r="B165" s="19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>
      <c r="A166" s="18"/>
      <c r="B166" s="19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>
      <c r="A167" s="18"/>
      <c r="B167" s="19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>
      <c r="A168" s="18"/>
      <c r="B168" s="19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>
      <c r="A169" s="18"/>
      <c r="B169" s="19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>
      <c r="A170" s="18"/>
      <c r="B170" s="19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>
      <c r="A171" s="18"/>
      <c r="B171" s="19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>
      <c r="A172" s="18"/>
      <c r="B172" s="19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>
      <c r="A173" s="18"/>
      <c r="B173" s="19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>
      <c r="A174" s="18"/>
      <c r="B174" s="19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>
      <c r="A175" s="18"/>
      <c r="B175" s="19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>
      <c r="A176" s="18"/>
      <c r="B176" s="19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>
      <c r="A177" s="18"/>
      <c r="B177" s="19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>
      <c r="A178" s="18"/>
      <c r="B178" s="19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>
      <c r="A179" s="18"/>
      <c r="B179" s="19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>
      <c r="A180" s="18"/>
      <c r="B180" s="19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>
      <c r="A181" s="18"/>
      <c r="B181" s="19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>
      <c r="A182" s="18"/>
      <c r="B182" s="19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>
      <c r="A183" s="18"/>
      <c r="B183" s="19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>
      <c r="A184" s="18"/>
      <c r="B184" s="19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>
      <c r="A185" s="18"/>
      <c r="B185" s="19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>
      <c r="A186" s="18"/>
      <c r="B186" s="19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>
      <c r="A187" s="18"/>
      <c r="B187" s="19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>
      <c r="A188" s="18"/>
      <c r="B188" s="19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>
      <c r="A189" s="18"/>
      <c r="B189" s="19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>
      <c r="A190" s="18"/>
      <c r="B190" s="19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>
      <c r="A191" s="18"/>
      <c r="B191" s="19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>
      <c r="A192" s="18"/>
      <c r="B192" s="19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>
      <c r="A193" s="18"/>
      <c r="B193" s="19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>
      <c r="A194" s="18"/>
      <c r="B194" s="19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>
      <c r="A195" s="18"/>
      <c r="B195" s="19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>
      <c r="A196" s="18"/>
      <c r="B196" s="19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>
      <c r="A197" s="18"/>
      <c r="B197" s="19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>
      <c r="A198" s="18"/>
      <c r="B198" s="19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>
      <c r="A199" s="18"/>
      <c r="B199" s="19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>
      <c r="A200" s="18"/>
      <c r="B200" s="19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>
      <c r="A201" s="18"/>
      <c r="B201" s="19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>
      <c r="A202" s="18"/>
      <c r="B202" s="19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>
      <c r="A203" s="18"/>
      <c r="B203" s="19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>
      <c r="A204" s="18"/>
      <c r="B204" s="19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>
      <c r="A205" s="18"/>
      <c r="B205" s="19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>
      <c r="A206" s="18"/>
      <c r="B206" s="19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>
      <c r="A207" s="18"/>
      <c r="B207" s="19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>
      <c r="A208" s="18"/>
      <c r="B208" s="19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>
      <c r="A209" s="18"/>
      <c r="B209" s="19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>
      <c r="A210" s="18"/>
      <c r="B210" s="19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>
      <c r="A211" s="18"/>
      <c r="B211" s="19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>
      <c r="A212" s="18"/>
      <c r="B212" s="19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>
      <c r="A213" s="18"/>
      <c r="B213" s="19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>
      <c r="A214" s="18"/>
      <c r="B214" s="19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>
      <c r="A215" s="18"/>
      <c r="B215" s="19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>
      <c r="A216" s="18"/>
      <c r="B216" s="19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>
      <c r="A217" s="18"/>
      <c r="B217" s="19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>
      <c r="A218" s="18"/>
      <c r="B218" s="19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>
      <c r="A219" s="18"/>
      <c r="B219" s="19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>
      <c r="A220" s="18"/>
      <c r="B220" s="19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>
      <c r="A221" s="18"/>
      <c r="B221" s="19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>
      <c r="A222" s="18"/>
      <c r="B222" s="19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>
      <c r="A223" s="18"/>
      <c r="B223" s="19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>
      <c r="A224" s="18"/>
      <c r="B224" s="19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>
      <c r="A225" s="18"/>
      <c r="B225" s="19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>
      <c r="A226" s="18"/>
      <c r="B226" s="19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>
      <c r="A227" s="18"/>
      <c r="B227" s="19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>
      <c r="A228" s="18"/>
      <c r="B228" s="19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>
      <c r="A229" s="18"/>
      <c r="B229" s="19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>
      <c r="A230" s="18"/>
      <c r="B230" s="19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>
      <c r="A231" s="18"/>
      <c r="B231" s="19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>
      <c r="A232" s="18"/>
      <c r="B232" s="19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>
      <c r="A233" s="18"/>
      <c r="B233" s="19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>
      <c r="A234" s="18"/>
      <c r="B234" s="19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>
      <c r="A235" s="18"/>
      <c r="B235" s="19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>
      <c r="A236" s="18"/>
      <c r="B236" s="19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>
      <c r="A237" s="18"/>
      <c r="B237" s="19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>
      <c r="A238" s="18"/>
      <c r="B238" s="19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>
      <c r="A239" s="18"/>
      <c r="B239" s="19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>
      <c r="A240" s="18"/>
      <c r="B240" s="19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>
      <c r="A241" s="18"/>
      <c r="B241" s="19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>
      <c r="A242" s="18"/>
      <c r="B242" s="19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>
      <c r="A243" s="18"/>
      <c r="B243" s="19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>
      <c r="A244" s="18"/>
      <c r="B244" s="19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>
      <c r="A245" s="18"/>
      <c r="B245" s="19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>
      <c r="A246" s="18"/>
      <c r="B246" s="19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>
      <c r="A247" s="18"/>
      <c r="B247" s="19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>
      <c r="A248" s="18"/>
      <c r="B248" s="19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>
      <c r="A249" s="18"/>
      <c r="B249" s="19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>
      <c r="A250" s="18"/>
      <c r="B250" s="19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>
      <c r="A251" s="18"/>
      <c r="B251" s="19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>
      <c r="A252" s="18"/>
      <c r="B252" s="19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>
      <c r="A253" s="18"/>
      <c r="B253" s="19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>
      <c r="A254" s="18"/>
      <c r="B254" s="19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>
      <c r="A255" s="18"/>
      <c r="B255" s="19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>
      <c r="A256" s="18"/>
      <c r="B256" s="19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>
      <c r="A257" s="18"/>
      <c r="B257" s="19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>
      <c r="A258" s="18"/>
      <c r="B258" s="19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>
      <c r="A259" s="18"/>
      <c r="B259" s="19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>
      <c r="A260" s="18"/>
      <c r="B260" s="19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>
      <c r="A261" s="18"/>
      <c r="B261" s="19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>
      <c r="A262" s="18"/>
      <c r="B262" s="19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>
      <c r="A263" s="18"/>
      <c r="B263" s="19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>
      <c r="A264" s="18"/>
      <c r="B264" s="19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>
      <c r="A265" s="18"/>
      <c r="B265" s="19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>
      <c r="A266" s="18"/>
      <c r="B266" s="19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>
      <c r="A267" s="18"/>
      <c r="B267" s="19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>
      <c r="A268" s="18"/>
      <c r="B268" s="19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>
      <c r="A269" s="18"/>
      <c r="B269" s="19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>
      <c r="A270" s="18"/>
      <c r="B270" s="19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>
      <c r="A271" s="18"/>
      <c r="B271" s="19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>
      <c r="A272" s="18"/>
      <c r="B272" s="19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>
      <c r="A273" s="18"/>
      <c r="B273" s="19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>
      <c r="A274" s="18"/>
      <c r="B274" s="19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>
      <c r="A275" s="18"/>
      <c r="B275" s="19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>
      <c r="A276" s="18"/>
      <c r="B276" s="19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>
      <c r="A277" s="18"/>
      <c r="B277" s="1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>
      <c r="A278" s="18"/>
      <c r="B278" s="19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>
      <c r="A279" s="18"/>
      <c r="B279" s="19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>
      <c r="A280" s="18"/>
      <c r="B280" s="19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>
      <c r="A281" s="18"/>
      <c r="B281" s="19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>
      <c r="A282" s="18"/>
      <c r="B282" s="19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>
      <c r="A283" s="18"/>
      <c r="B283" s="19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>
      <c r="A284" s="18"/>
      <c r="B284" s="19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>
      <c r="A285" s="18"/>
      <c r="B285" s="19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>
      <c r="A286" s="18"/>
      <c r="B286" s="19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>
      <c r="A287" s="18"/>
      <c r="B287" s="19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>
      <c r="A288" s="18"/>
      <c r="B288" s="19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>
      <c r="A289" s="18"/>
      <c r="B289" s="19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>
      <c r="A290" s="18"/>
      <c r="B290" s="19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>
      <c r="A291" s="18"/>
      <c r="B291" s="19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>
      <c r="A292" s="18"/>
      <c r="B292" s="19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>
      <c r="A293" s="18"/>
      <c r="B293" s="19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>
      <c r="A294" s="18"/>
      <c r="B294" s="19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>
      <c r="A295" s="18"/>
      <c r="B295" s="19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>
      <c r="A296" s="18"/>
      <c r="B296" s="19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>
      <c r="A297" s="18"/>
      <c r="B297" s="19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>
      <c r="A298" s="18"/>
      <c r="B298" s="19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>
      <c r="A299" s="18"/>
      <c r="B299" s="19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>
      <c r="A300" s="18"/>
      <c r="B300" s="19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>
      <c r="A301" s="18"/>
      <c r="B301" s="19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>
      <c r="A302" s="18"/>
      <c r="B302" s="19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>
      <c r="A303" s="18"/>
      <c r="B303" s="19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>
      <c r="A304" s="18"/>
      <c r="B304" s="19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>
      <c r="A305" s="18"/>
      <c r="B305" s="19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>
      <c r="A306" s="18"/>
      <c r="B306" s="19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>
      <c r="A307" s="18"/>
      <c r="B307" s="19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>
      <c r="A308" s="18"/>
      <c r="B308" s="19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>
      <c r="A309" s="18"/>
      <c r="B309" s="19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>
      <c r="A310" s="18"/>
      <c r="B310" s="19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>
      <c r="A311" s="18"/>
      <c r="B311" s="19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>
      <c r="A312" s="18"/>
      <c r="B312" s="19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>
      <c r="A313" s="18"/>
      <c r="B313" s="19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>
      <c r="A314" s="18"/>
      <c r="B314" s="19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>
      <c r="A315" s="18"/>
      <c r="B315" s="19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>
      <c r="A316" s="18"/>
      <c r="B316" s="19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>
      <c r="A317" s="18"/>
      <c r="B317" s="19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>
      <c r="A318" s="18"/>
      <c r="B318" s="19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>
      <c r="A319" s="18"/>
      <c r="B319" s="19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>
      <c r="A320" s="18"/>
      <c r="B320" s="19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>
      <c r="A321" s="18"/>
      <c r="B321" s="19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>
      <c r="A322" s="18"/>
      <c r="B322" s="19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>
      <c r="A323" s="18"/>
      <c r="B323" s="19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>
      <c r="A324" s="18"/>
      <c r="B324" s="19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>
      <c r="A325" s="18"/>
      <c r="B325" s="19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>
      <c r="A326" s="18"/>
      <c r="B326" s="19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>
      <c r="A327" s="18"/>
      <c r="B327" s="19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>
      <c r="A328" s="18"/>
      <c r="B328" s="19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>
      <c r="A329" s="18"/>
      <c r="B329" s="19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>
      <c r="A330" s="18"/>
      <c r="B330" s="19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>
      <c r="A331" s="18"/>
      <c r="B331" s="19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>
      <c r="A332" s="18"/>
      <c r="B332" s="19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>
      <c r="A333" s="18"/>
      <c r="B333" s="19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>
      <c r="A334" s="18"/>
      <c r="B334" s="19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>
      <c r="A335" s="18"/>
      <c r="B335" s="19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>
      <c r="A336" s="18"/>
      <c r="B336" s="19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>
      <c r="A337" s="18"/>
      <c r="B337" s="19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>
      <c r="A338" s="18"/>
      <c r="B338" s="19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>
      <c r="A339" s="18"/>
      <c r="B339" s="19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>
      <c r="A340" s="18"/>
      <c r="B340" s="19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>
      <c r="A341" s="18"/>
      <c r="B341" s="19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>
      <c r="A342" s="18"/>
      <c r="B342" s="19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>
      <c r="A343" s="18"/>
      <c r="B343" s="19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>
      <c r="A344" s="18"/>
      <c r="B344" s="19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>
      <c r="A345" s="18"/>
      <c r="B345" s="19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>
      <c r="A346" s="18"/>
      <c r="B346" s="19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>
      <c r="A347" s="18"/>
      <c r="B347" s="19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>
      <c r="A348" s="18"/>
      <c r="B348" s="19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>
      <c r="A349" s="18"/>
      <c r="B349" s="19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>
      <c r="A350" s="18"/>
      <c r="B350" s="19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>
      <c r="A351" s="18"/>
      <c r="B351" s="19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>
      <c r="A352" s="18"/>
      <c r="B352" s="19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>
      <c r="A353" s="18"/>
      <c r="B353" s="19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>
      <c r="A354" s="18"/>
      <c r="B354" s="19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>
      <c r="A355" s="18"/>
      <c r="B355" s="19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>
      <c r="A356" s="18"/>
      <c r="B356" s="19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>
      <c r="A357" s="18"/>
      <c r="B357" s="19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>
      <c r="A358" s="18"/>
      <c r="B358" s="19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>
      <c r="A359" s="18"/>
      <c r="B359" s="19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>
      <c r="A360" s="18"/>
      <c r="B360" s="19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>
      <c r="A361" s="18"/>
      <c r="B361" s="19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>
      <c r="A362" s="18"/>
      <c r="B362" s="19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>
      <c r="A363" s="18"/>
      <c r="B363" s="19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>
      <c r="A364" s="18"/>
      <c r="B364" s="19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>
      <c r="A365" s="18"/>
      <c r="B365" s="19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>
      <c r="A366" s="18"/>
      <c r="B366" s="19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>
      <c r="A367" s="18"/>
      <c r="B367" s="19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>
      <c r="A368" s="18"/>
      <c r="B368" s="19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>
      <c r="A369" s="18"/>
      <c r="B369" s="19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>
      <c r="A370" s="18"/>
      <c r="B370" s="19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>
      <c r="A371" s="18"/>
      <c r="B371" s="19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>
      <c r="A372" s="18"/>
      <c r="B372" s="19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>
      <c r="A373" s="18"/>
      <c r="B373" s="19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>
      <c r="A374" s="18"/>
      <c r="B374" s="19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>
      <c r="A375" s="18"/>
      <c r="B375" s="19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>
      <c r="A376" s="18"/>
      <c r="B376" s="19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>
      <c r="A377" s="18"/>
      <c r="B377" s="19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>
      <c r="A378" s="18"/>
      <c r="B378" s="19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>
      <c r="A379" s="18"/>
      <c r="B379" s="19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>
      <c r="A380" s="18"/>
      <c r="B380" s="19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>
      <c r="A381" s="18"/>
      <c r="B381" s="19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>
      <c r="A382" s="18"/>
      <c r="B382" s="19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>
      <c r="A383" s="18"/>
      <c r="B383" s="19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>
      <c r="A384" s="18"/>
      <c r="B384" s="19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>
      <c r="A385" s="18"/>
      <c r="B385" s="19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>
      <c r="A386" s="18"/>
      <c r="B386" s="19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>
      <c r="A387" s="18"/>
      <c r="B387" s="19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>
      <c r="A388" s="18"/>
      <c r="B388" s="19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>
      <c r="A389" s="18"/>
      <c r="B389" s="19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>
      <c r="A390" s="18"/>
      <c r="B390" s="19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>
      <c r="A391" s="18"/>
      <c r="B391" s="19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>
      <c r="A392" s="18"/>
      <c r="B392" s="19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>
      <c r="A393" s="18"/>
      <c r="B393" s="19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>
      <c r="A394" s="18"/>
      <c r="B394" s="19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>
      <c r="A395" s="18"/>
      <c r="B395" s="19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>
      <c r="A396" s="18"/>
      <c r="B396" s="19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>
      <c r="A397" s="18"/>
      <c r="B397" s="19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>
      <c r="A398" s="18"/>
      <c r="B398" s="19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>
      <c r="A399" s="18"/>
      <c r="B399" s="19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>
      <c r="A400" s="18"/>
      <c r="B400" s="19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>
      <c r="A401" s="18"/>
      <c r="B401" s="19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>
      <c r="A402" s="18"/>
      <c r="B402" s="19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>
      <c r="A403" s="18"/>
      <c r="B403" s="19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>
      <c r="A404" s="18"/>
      <c r="B404" s="19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>
      <c r="A405" s="18"/>
      <c r="B405" s="19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>
      <c r="A406" s="18"/>
      <c r="B406" s="19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>
      <c r="A407" s="18"/>
      <c r="B407" s="19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>
      <c r="A408" s="18"/>
      <c r="B408" s="19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>
      <c r="A409" s="18"/>
      <c r="B409" s="19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>
      <c r="A410" s="18"/>
      <c r="B410" s="19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>
      <c r="A411" s="18"/>
      <c r="B411" s="19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>
      <c r="A412" s="18"/>
      <c r="B412" s="19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>
      <c r="A413" s="18"/>
      <c r="B413" s="19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>
      <c r="A414" s="18"/>
      <c r="B414" s="19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>
      <c r="A415" s="18"/>
      <c r="B415" s="19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>
      <c r="A416" s="18"/>
      <c r="B416" s="19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>
      <c r="A417" s="18"/>
      <c r="B417" s="19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>
      <c r="A418" s="18"/>
      <c r="B418" s="19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>
      <c r="A419" s="18"/>
      <c r="B419" s="19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>
      <c r="A420" s="18"/>
      <c r="B420" s="19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>
      <c r="A421" s="18"/>
      <c r="B421" s="19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>
      <c r="A422" s="18"/>
      <c r="B422" s="19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>
      <c r="A423" s="18"/>
      <c r="B423" s="19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>
      <c r="A424" s="18"/>
      <c r="B424" s="19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>
      <c r="A425" s="18"/>
      <c r="B425" s="19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>
      <c r="A426" s="18"/>
      <c r="B426" s="19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>
      <c r="A427" s="18"/>
      <c r="B427" s="19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>
      <c r="A428" s="18"/>
      <c r="B428" s="19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>
      <c r="A429" s="18"/>
      <c r="B429" s="19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>
      <c r="A430" s="18"/>
      <c r="B430" s="19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>
      <c r="A431" s="18"/>
      <c r="B431" s="19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>
      <c r="A432" s="18"/>
      <c r="B432" s="19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>
      <c r="A433" s="18"/>
      <c r="B433" s="19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>
      <c r="A434" s="18"/>
      <c r="B434" s="19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>
      <c r="A435" s="18"/>
      <c r="B435" s="19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>
      <c r="A436" s="18"/>
      <c r="B436" s="19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>
      <c r="A437" s="18"/>
      <c r="B437" s="19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>
      <c r="A438" s="18"/>
      <c r="B438" s="19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>
      <c r="A439" s="18"/>
      <c r="B439" s="19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>
      <c r="A440" s="18"/>
      <c r="B440" s="19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>
      <c r="A441" s="18"/>
      <c r="B441" s="19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>
      <c r="A442" s="18"/>
      <c r="B442" s="19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>
      <c r="A443" s="18"/>
      <c r="B443" s="19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>
      <c r="A444" s="18"/>
      <c r="B444" s="19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>
      <c r="A445" s="18"/>
      <c r="B445" s="19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>
      <c r="A446" s="18"/>
      <c r="B446" s="19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>
      <c r="A447" s="18"/>
      <c r="B447" s="19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>
      <c r="A448" s="18"/>
      <c r="B448" s="19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>
      <c r="A449" s="18"/>
      <c r="B449" s="19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>
      <c r="A450" s="18"/>
      <c r="B450" s="19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>
      <c r="A451" s="18"/>
      <c r="B451" s="19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>
      <c r="A452" s="18"/>
      <c r="B452" s="19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>
      <c r="A453" s="18"/>
      <c r="B453" s="19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>
      <c r="A454" s="18"/>
      <c r="B454" s="19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>
      <c r="A455" s="18"/>
      <c r="B455" s="19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>
      <c r="A456" s="18"/>
      <c r="B456" s="19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>
      <c r="A457" s="18"/>
      <c r="B457" s="19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>
      <c r="A458" s="18"/>
      <c r="B458" s="19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>
      <c r="A459" s="18"/>
      <c r="B459" s="19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>
      <c r="A460" s="18"/>
      <c r="B460" s="19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>
      <c r="A461" s="18"/>
      <c r="B461" s="19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>
      <c r="A462" s="18"/>
      <c r="B462" s="19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>
      <c r="A463" s="18"/>
      <c r="B463" s="19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>
      <c r="A464" s="18"/>
      <c r="B464" s="19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>
      <c r="A465" s="18"/>
      <c r="B465" s="19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>
      <c r="A466" s="18"/>
      <c r="B466" s="19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>
      <c r="A467" s="18"/>
      <c r="B467" s="19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>
      <c r="A468" s="18"/>
      <c r="B468" s="19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>
      <c r="A469" s="18"/>
      <c r="B469" s="19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>
      <c r="A470" s="18"/>
      <c r="B470" s="19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>
      <c r="A471" s="18"/>
      <c r="B471" s="19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>
      <c r="A472" s="18"/>
      <c r="B472" s="19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>
      <c r="A473" s="18"/>
      <c r="B473" s="19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>
      <c r="A474" s="18"/>
      <c r="B474" s="19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>
      <c r="A475" s="18"/>
      <c r="B475" s="19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>
      <c r="A476" s="18"/>
      <c r="B476" s="19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>
      <c r="A477" s="18"/>
      <c r="B477" s="19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>
      <c r="A478" s="18"/>
      <c r="B478" s="19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>
      <c r="A479" s="18"/>
      <c r="B479" s="19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>
      <c r="A480" s="18"/>
      <c r="B480" s="19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>
      <c r="A481" s="18"/>
      <c r="B481" s="19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>
      <c r="A482" s="18"/>
      <c r="B482" s="19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>
      <c r="A483" s="18"/>
      <c r="B483" s="19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>
      <c r="A484" s="18"/>
      <c r="B484" s="19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>
      <c r="A485" s="18"/>
      <c r="B485" s="19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>
      <c r="A486" s="18"/>
      <c r="B486" s="19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>
      <c r="A487" s="18"/>
      <c r="B487" s="19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>
      <c r="A488" s="18"/>
      <c r="B488" s="19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>
      <c r="A489" s="18"/>
      <c r="B489" s="19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>
      <c r="A490" s="18"/>
      <c r="B490" s="19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>
      <c r="A491" s="18"/>
      <c r="B491" s="19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>
      <c r="A492" s="18"/>
      <c r="B492" s="19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>
      <c r="A493" s="18"/>
      <c r="B493" s="19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>
      <c r="A494" s="18"/>
      <c r="B494" s="19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>
      <c r="A495" s="18"/>
      <c r="B495" s="19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>
      <c r="A496" s="18"/>
      <c r="B496" s="19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>
      <c r="A497" s="18"/>
      <c r="B497" s="19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>
      <c r="A498" s="18"/>
      <c r="B498" s="19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>
      <c r="A499" s="18"/>
      <c r="B499" s="19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>
      <c r="A500" s="18"/>
      <c r="B500" s="19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>
      <c r="A501" s="18"/>
      <c r="B501" s="19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>
      <c r="A502" s="18"/>
      <c r="B502" s="19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>
      <c r="A503" s="18"/>
      <c r="B503" s="19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>
      <c r="A504" s="18"/>
      <c r="B504" s="19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>
      <c r="A505" s="18"/>
      <c r="B505" s="19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>
      <c r="A506" s="18"/>
      <c r="B506" s="19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>
      <c r="A507" s="18"/>
      <c r="B507" s="19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>
      <c r="A508" s="18"/>
      <c r="B508" s="19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>
      <c r="A509" s="18"/>
      <c r="B509" s="19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>
      <c r="A510" s="18"/>
      <c r="B510" s="19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>
      <c r="A511" s="18"/>
      <c r="B511" s="19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>
      <c r="A512" s="18"/>
      <c r="B512" s="19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>
      <c r="A513" s="18"/>
      <c r="B513" s="19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>
      <c r="A514" s="18"/>
      <c r="B514" s="19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>
      <c r="A515" s="18"/>
      <c r="B515" s="19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>
      <c r="A516" s="18"/>
      <c r="B516" s="19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>
      <c r="A517" s="18"/>
      <c r="B517" s="19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>
      <c r="A518" s="18"/>
      <c r="B518" s="19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>
      <c r="A519" s="18"/>
      <c r="B519" s="19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>
      <c r="A520" s="18"/>
      <c r="B520" s="19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>
      <c r="A521" s="18"/>
      <c r="B521" s="19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>
      <c r="A522" s="18"/>
      <c r="B522" s="19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>
      <c r="A523" s="18"/>
      <c r="B523" s="19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>
      <c r="A524" s="18"/>
      <c r="B524" s="19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>
      <c r="A525" s="18"/>
      <c r="B525" s="19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>
      <c r="A526" s="18"/>
      <c r="B526" s="19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>
      <c r="A527" s="18"/>
      <c r="B527" s="19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>
      <c r="A528" s="18"/>
      <c r="B528" s="19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>
      <c r="A529" s="18"/>
      <c r="B529" s="19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>
      <c r="A530" s="18"/>
      <c r="B530" s="19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>
      <c r="A531" s="18"/>
      <c r="B531" s="19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>
      <c r="A532" s="18"/>
      <c r="B532" s="19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>
      <c r="A533" s="18"/>
      <c r="B533" s="19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>
      <c r="A534" s="18"/>
      <c r="B534" s="19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>
      <c r="A535" s="18"/>
      <c r="B535" s="19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>
      <c r="A536" s="18"/>
      <c r="B536" s="19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>
      <c r="A537" s="18"/>
      <c r="B537" s="19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>
      <c r="A538" s="18"/>
      <c r="B538" s="19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>
      <c r="A539" s="18"/>
      <c r="B539" s="19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>
      <c r="A540" s="18"/>
      <c r="B540" s="19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>
      <c r="A541" s="18"/>
      <c r="B541" s="19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>
      <c r="A542" s="18"/>
      <c r="B542" s="19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>
      <c r="A543" s="18"/>
      <c r="B543" s="19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>
      <c r="A544" s="18"/>
      <c r="B544" s="19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>
      <c r="A545" s="18"/>
      <c r="B545" s="19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>
      <c r="A546" s="18"/>
      <c r="B546" s="19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>
      <c r="A547" s="18"/>
      <c r="B547" s="19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>
      <c r="A548" s="18"/>
      <c r="B548" s="19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>
      <c r="A549" s="18"/>
      <c r="B549" s="19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>
      <c r="A550" s="18"/>
      <c r="B550" s="19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>
      <c r="A551" s="18"/>
      <c r="B551" s="19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>
      <c r="A552" s="18"/>
      <c r="B552" s="19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>
      <c r="A553" s="18"/>
      <c r="B553" s="19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>
      <c r="A554" s="18"/>
      <c r="B554" s="19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>
      <c r="A555" s="18"/>
      <c r="B555" s="19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>
      <c r="A556" s="18"/>
      <c r="B556" s="19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>
      <c r="A557" s="18"/>
      <c r="B557" s="19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>
      <c r="A558" s="18"/>
      <c r="B558" s="19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>
      <c r="A559" s="18"/>
      <c r="B559" s="19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>
      <c r="A560" s="18"/>
      <c r="B560" s="19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>
      <c r="A561" s="18"/>
      <c r="B561" s="19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>
      <c r="A562" s="18"/>
      <c r="B562" s="19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>
      <c r="A563" s="18"/>
      <c r="B563" s="19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>
      <c r="A564" s="18"/>
      <c r="B564" s="19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>
      <c r="A565" s="18"/>
      <c r="B565" s="19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>
      <c r="A566" s="18"/>
      <c r="B566" s="19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>
      <c r="A567" s="18"/>
      <c r="B567" s="19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>
      <c r="A568" s="18"/>
      <c r="B568" s="19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>
      <c r="A569" s="18"/>
      <c r="B569" s="19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>
      <c r="A570" s="18"/>
      <c r="B570" s="19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>
      <c r="A571" s="18"/>
      <c r="B571" s="19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>
      <c r="A572" s="18"/>
      <c r="B572" s="19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>
      <c r="A573" s="18"/>
      <c r="B573" s="19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>
      <c r="A574" s="18"/>
      <c r="B574" s="19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>
      <c r="A575" s="18"/>
      <c r="B575" s="19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>
      <c r="A576" s="18"/>
      <c r="B576" s="19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>
      <c r="A577" s="18"/>
      <c r="B577" s="19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>
      <c r="A578" s="18"/>
      <c r="B578" s="19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>
      <c r="A579" s="18"/>
      <c r="B579" s="19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>
      <c r="A580" s="18"/>
      <c r="B580" s="19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>
      <c r="A581" s="18"/>
      <c r="B581" s="19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>
      <c r="A582" s="18"/>
      <c r="B582" s="19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>
      <c r="A583" s="18"/>
      <c r="B583" s="19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>
      <c r="A584" s="18"/>
      <c r="B584" s="19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>
      <c r="A585" s="18"/>
      <c r="B585" s="19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>
      <c r="A586" s="18"/>
      <c r="B586" s="19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>
      <c r="A587" s="18"/>
      <c r="B587" s="19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>
      <c r="A588" s="18"/>
      <c r="B588" s="19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>
      <c r="A589" s="18"/>
      <c r="B589" s="19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>
      <c r="A590" s="18"/>
      <c r="B590" s="19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>
      <c r="A591" s="18"/>
      <c r="B591" s="19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>
      <c r="A592" s="18"/>
      <c r="B592" s="19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>
      <c r="A593" s="18"/>
      <c r="B593" s="19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>
      <c r="A594" s="18"/>
      <c r="B594" s="19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>
      <c r="A595" s="18"/>
      <c r="B595" s="19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>
      <c r="A596" s="18"/>
      <c r="B596" s="19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>
      <c r="A597" s="18"/>
      <c r="B597" s="19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>
      <c r="A598" s="18"/>
      <c r="B598" s="19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>
      <c r="A599" s="18"/>
      <c r="B599" s="19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>
      <c r="A600" s="18"/>
      <c r="B600" s="19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>
      <c r="A601" s="18"/>
      <c r="B601" s="19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>
      <c r="A602" s="18"/>
      <c r="B602" s="19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>
      <c r="A603" s="18"/>
      <c r="B603" s="19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>
      <c r="A604" s="18"/>
      <c r="B604" s="19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>
      <c r="A605" s="18"/>
      <c r="B605" s="19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>
      <c r="A606" s="18"/>
      <c r="B606" s="19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>
      <c r="A607" s="18"/>
      <c r="B607" s="19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>
      <c r="A608" s="18"/>
      <c r="B608" s="19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>
      <c r="A609" s="18"/>
      <c r="B609" s="19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>
      <c r="A610" s="18"/>
      <c r="B610" s="19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>
      <c r="A611" s="18"/>
      <c r="B611" s="19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>
      <c r="A612" s="18"/>
      <c r="B612" s="19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>
      <c r="A613" s="18"/>
      <c r="B613" s="19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>
      <c r="A614" s="18"/>
      <c r="B614" s="19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>
      <c r="A615" s="18"/>
      <c r="B615" s="19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>
      <c r="A616" s="18"/>
      <c r="B616" s="19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>
      <c r="A617" s="18"/>
      <c r="B617" s="19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>
      <c r="A618" s="18"/>
      <c r="B618" s="19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>
      <c r="A619" s="18"/>
      <c r="B619" s="19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>
      <c r="A620" s="18"/>
      <c r="B620" s="19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>
      <c r="A621" s="18"/>
      <c r="B621" s="19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>
      <c r="A622" s="18"/>
      <c r="B622" s="19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>
      <c r="A623" s="18"/>
      <c r="B623" s="19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>
      <c r="A624" s="18"/>
      <c r="B624" s="19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>
      <c r="A625" s="18"/>
      <c r="B625" s="19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>
      <c r="A626" s="18"/>
      <c r="B626" s="19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>
      <c r="A627" s="18"/>
      <c r="B627" s="19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>
      <c r="A628" s="18"/>
      <c r="B628" s="19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>
      <c r="A629" s="18"/>
      <c r="B629" s="19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>
      <c r="A630" s="18"/>
      <c r="B630" s="19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>
      <c r="A631" s="18"/>
      <c r="B631" s="19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>
      <c r="A632" s="18"/>
      <c r="B632" s="19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>
      <c r="A633" s="18"/>
      <c r="B633" s="19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>
      <c r="A634" s="18"/>
      <c r="B634" s="19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>
      <c r="A635" s="18"/>
      <c r="B635" s="19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>
      <c r="A636" s="18"/>
      <c r="B636" s="19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>
      <c r="A637" s="18"/>
      <c r="B637" s="19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>
      <c r="A638" s="18"/>
      <c r="B638" s="19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>
      <c r="A639" s="18"/>
      <c r="B639" s="19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>
      <c r="A640" s="18"/>
      <c r="B640" s="19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>
      <c r="A641" s="18"/>
      <c r="B641" s="19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>
      <c r="A642" s="18"/>
      <c r="B642" s="19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>
      <c r="A643" s="18"/>
      <c r="B643" s="19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>
      <c r="A644" s="18"/>
      <c r="B644" s="19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>
      <c r="A645" s="18"/>
      <c r="B645" s="19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>
      <c r="A646" s="18"/>
      <c r="B646" s="19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>
      <c r="A647" s="18"/>
      <c r="B647" s="19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>
      <c r="A648" s="18"/>
      <c r="B648" s="19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>
      <c r="A649" s="18"/>
      <c r="B649" s="19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>
      <c r="A650" s="18"/>
      <c r="B650" s="19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>
      <c r="A651" s="18"/>
      <c r="B651" s="19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>
      <c r="A652" s="18"/>
      <c r="B652" s="19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>
      <c r="A653" s="18"/>
      <c r="B653" s="19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>
      <c r="A654" s="18"/>
      <c r="B654" s="19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>
      <c r="A655" s="18"/>
      <c r="B655" s="19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>
      <c r="A656" s="18"/>
      <c r="B656" s="19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>
      <c r="A657" s="18"/>
      <c r="B657" s="19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>
      <c r="A658" s="18"/>
      <c r="B658" s="19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>
      <c r="A659" s="18"/>
      <c r="B659" s="19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>
      <c r="A660" s="18"/>
      <c r="B660" s="19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>
      <c r="A661" s="18"/>
      <c r="B661" s="19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>
      <c r="A662" s="18"/>
      <c r="B662" s="19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>
      <c r="A663" s="18"/>
      <c r="B663" s="19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>
      <c r="A664" s="18"/>
      <c r="B664" s="19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>
      <c r="A665" s="18"/>
      <c r="B665" s="19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>
      <c r="A666" s="18"/>
      <c r="B666" s="19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>
      <c r="A667" s="18"/>
      <c r="B667" s="19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>
      <c r="A668" s="18"/>
      <c r="B668" s="19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>
      <c r="A669" s="18"/>
      <c r="B669" s="19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>
      <c r="A670" s="18"/>
      <c r="B670" s="19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>
      <c r="A671" s="18"/>
      <c r="B671" s="19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>
      <c r="A672" s="18"/>
      <c r="B672" s="19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>
      <c r="A673" s="18"/>
      <c r="B673" s="19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>
      <c r="A674" s="18"/>
      <c r="B674" s="19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>
      <c r="A675" s="18"/>
      <c r="B675" s="19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>
      <c r="A676" s="18"/>
      <c r="B676" s="19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>
      <c r="A677" s="18"/>
      <c r="B677" s="19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>
      <c r="A678" s="18"/>
      <c r="B678" s="19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>
      <c r="A679" s="18"/>
      <c r="B679" s="19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>
      <c r="A680" s="18"/>
      <c r="B680" s="19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>
      <c r="A681" s="18"/>
      <c r="B681" s="19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>
      <c r="A682" s="18"/>
      <c r="B682" s="19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>
      <c r="A683" s="18"/>
      <c r="B683" s="19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>
      <c r="A684" s="18"/>
      <c r="B684" s="19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>
      <c r="A685" s="18"/>
      <c r="B685" s="19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>
      <c r="A686" s="18"/>
      <c r="B686" s="19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>
      <c r="A687" s="18"/>
      <c r="B687" s="19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>
      <c r="A688" s="18"/>
      <c r="B688" s="19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>
      <c r="A689" s="18"/>
      <c r="B689" s="19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>
      <c r="A690" s="18"/>
      <c r="B690" s="19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>
      <c r="A691" s="18"/>
      <c r="B691" s="19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>
      <c r="A692" s="18"/>
      <c r="B692" s="19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>
      <c r="A693" s="18"/>
      <c r="B693" s="19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>
      <c r="A694" s="18"/>
      <c r="B694" s="19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>
      <c r="A695" s="18"/>
      <c r="B695" s="19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>
      <c r="A696" s="18"/>
      <c r="B696" s="19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>
      <c r="A697" s="18"/>
      <c r="B697" s="19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>
      <c r="A698" s="18"/>
      <c r="B698" s="19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>
      <c r="A699" s="18"/>
      <c r="B699" s="19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>
      <c r="A700" s="18"/>
      <c r="B700" s="19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>
      <c r="A701" s="18"/>
      <c r="B701" s="19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>
      <c r="A702" s="18"/>
      <c r="B702" s="19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>
      <c r="A703" s="18"/>
      <c r="B703" s="19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>
      <c r="A704" s="18"/>
      <c r="B704" s="19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>
      <c r="A705" s="18"/>
      <c r="B705" s="19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>
      <c r="A706" s="18"/>
      <c r="B706" s="19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>
      <c r="A707" s="18"/>
      <c r="B707" s="19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>
      <c r="A708" s="18"/>
      <c r="B708" s="19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>
      <c r="A709" s="18"/>
      <c r="B709" s="19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>
      <c r="A710" s="18"/>
      <c r="B710" s="19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>
      <c r="A711" s="18"/>
      <c r="B711" s="19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>
      <c r="A712" s="18"/>
      <c r="B712" s="19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>
      <c r="A713" s="18"/>
      <c r="B713" s="19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>
      <c r="A714" s="18"/>
      <c r="B714" s="19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>
      <c r="A715" s="18"/>
      <c r="B715" s="19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>
      <c r="A716" s="18"/>
      <c r="B716" s="19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>
      <c r="A717" s="18"/>
      <c r="B717" s="19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>
      <c r="A718" s="18"/>
      <c r="B718" s="19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>
      <c r="A719" s="18"/>
      <c r="B719" s="19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>
      <c r="A720" s="18"/>
      <c r="B720" s="19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>
      <c r="A721" s="18"/>
      <c r="B721" s="19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>
      <c r="A722" s="18"/>
      <c r="B722" s="19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>
      <c r="A723" s="18"/>
      <c r="B723" s="19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>
      <c r="A724" s="18"/>
      <c r="B724" s="19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>
      <c r="A725" s="18"/>
      <c r="B725" s="19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>
      <c r="A726" s="18"/>
      <c r="B726" s="19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>
      <c r="A727" s="18"/>
      <c r="B727" s="19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>
      <c r="A728" s="18"/>
      <c r="B728" s="19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>
      <c r="A729" s="18"/>
      <c r="B729" s="19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>
      <c r="A730" s="18"/>
      <c r="B730" s="19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>
      <c r="A731" s="18"/>
      <c r="B731" s="19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>
      <c r="A732" s="18"/>
      <c r="B732" s="19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>
      <c r="A733" s="18"/>
      <c r="B733" s="19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>
      <c r="A734" s="18"/>
      <c r="B734" s="19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>
      <c r="A735" s="18"/>
      <c r="B735" s="19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>
      <c r="A736" s="18"/>
      <c r="B736" s="19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>
      <c r="A737" s="18"/>
      <c r="B737" s="19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>
      <c r="A738" s="18"/>
      <c r="B738" s="19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>
      <c r="A739" s="18"/>
      <c r="B739" s="19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>
      <c r="A740" s="18"/>
      <c r="B740" s="19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>
      <c r="A741" s="18"/>
      <c r="B741" s="19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>
      <c r="A742" s="18"/>
      <c r="B742" s="19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>
      <c r="A743" s="18"/>
      <c r="B743" s="19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>
      <c r="A744" s="18"/>
      <c r="B744" s="19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>
      <c r="A745" s="18"/>
      <c r="B745" s="19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>
      <c r="A746" s="18"/>
      <c r="B746" s="19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>
      <c r="A747" s="18"/>
      <c r="B747" s="19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>
      <c r="A748" s="18"/>
      <c r="B748" s="19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>
      <c r="A749" s="18"/>
      <c r="B749" s="19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>
      <c r="A750" s="18"/>
      <c r="B750" s="19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>
      <c r="A751" s="18"/>
      <c r="B751" s="19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>
      <c r="A752" s="18"/>
      <c r="B752" s="19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>
      <c r="A753" s="18"/>
      <c r="B753" s="19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>
      <c r="A754" s="18"/>
      <c r="B754" s="19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>
      <c r="A755" s="18"/>
      <c r="B755" s="19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>
      <c r="A756" s="18"/>
      <c r="B756" s="19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>
      <c r="A757" s="18"/>
      <c r="B757" s="19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>
      <c r="A758" s="18"/>
      <c r="B758" s="19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>
      <c r="A759" s="18"/>
      <c r="B759" s="19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>
      <c r="A760" s="18"/>
      <c r="B760" s="19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>
      <c r="A761" s="18"/>
      <c r="B761" s="19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>
      <c r="A762" s="18"/>
      <c r="B762" s="19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>
      <c r="A763" s="18"/>
      <c r="B763" s="19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>
      <c r="A764" s="18"/>
      <c r="B764" s="19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>
      <c r="A765" s="18"/>
      <c r="B765" s="19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>
      <c r="A766" s="18"/>
      <c r="B766" s="19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>
      <c r="A767" s="18"/>
      <c r="B767" s="19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>
      <c r="A768" s="18"/>
      <c r="B768" s="19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>
      <c r="A769" s="18"/>
      <c r="B769" s="19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>
      <c r="A770" s="18"/>
      <c r="B770" s="19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>
      <c r="A771" s="18"/>
      <c r="B771" s="19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>
      <c r="A772" s="18"/>
      <c r="B772" s="19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>
      <c r="A773" s="18"/>
      <c r="B773" s="19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>
      <c r="A774" s="18"/>
      <c r="B774" s="19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>
      <c r="A775" s="18"/>
      <c r="B775" s="19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>
      <c r="A776" s="18"/>
      <c r="B776" s="19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>
      <c r="A777" s="18"/>
      <c r="B777" s="19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>
      <c r="A778" s="18"/>
      <c r="B778" s="19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>
      <c r="A779" s="18"/>
      <c r="B779" s="19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>
      <c r="A780" s="18"/>
      <c r="B780" s="19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>
      <c r="A781" s="18"/>
      <c r="B781" s="19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>
      <c r="A782" s="18"/>
      <c r="B782" s="19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>
      <c r="A783" s="18"/>
      <c r="B783" s="19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>
      <c r="A784" s="18"/>
      <c r="B784" s="19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>
      <c r="A785" s="18"/>
      <c r="B785" s="19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>
      <c r="A786" s="18"/>
      <c r="B786" s="19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>
      <c r="A787" s="18"/>
      <c r="B787" s="19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>
      <c r="A788" s="18"/>
      <c r="B788" s="19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>
      <c r="A789" s="18"/>
      <c r="B789" s="19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>
      <c r="A790" s="18"/>
      <c r="B790" s="19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>
      <c r="A791" s="18"/>
      <c r="B791" s="19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>
      <c r="A792" s="18"/>
      <c r="B792" s="19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>
      <c r="A793" s="18"/>
      <c r="B793" s="19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>
      <c r="A794" s="18"/>
      <c r="B794" s="19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>
      <c r="A795" s="18"/>
      <c r="B795" s="19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>
      <c r="A796" s="18"/>
      <c r="B796" s="19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>
      <c r="A797" s="18"/>
      <c r="B797" s="19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>
      <c r="A798" s="18"/>
      <c r="B798" s="19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>
      <c r="A799" s="18"/>
      <c r="B799" s="19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>
      <c r="A800" s="18"/>
      <c r="B800" s="19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>
      <c r="A801" s="18"/>
      <c r="B801" s="19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>
      <c r="A802" s="18"/>
      <c r="B802" s="19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>
      <c r="A803" s="18"/>
      <c r="B803" s="19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>
      <c r="A804" s="18"/>
      <c r="B804" s="19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>
      <c r="A805" s="18"/>
      <c r="B805" s="19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>
      <c r="A806" s="18"/>
      <c r="B806" s="19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>
      <c r="A807" s="18"/>
      <c r="B807" s="19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>
      <c r="A808" s="18"/>
      <c r="B808" s="19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>
      <c r="A809" s="18"/>
      <c r="B809" s="19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>
      <c r="A810" s="18"/>
      <c r="B810" s="19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>
      <c r="A811" s="18"/>
      <c r="B811" s="19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>
      <c r="A812" s="18"/>
      <c r="B812" s="19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>
      <c r="A813" s="18"/>
      <c r="B813" s="19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>
      <c r="A814" s="18"/>
      <c r="B814" s="19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>
      <c r="A815" s="18"/>
      <c r="B815" s="19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>
      <c r="A816" s="18"/>
      <c r="B816" s="19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>
      <c r="A817" s="18"/>
      <c r="B817" s="19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>
      <c r="A818" s="18"/>
      <c r="B818" s="19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>
      <c r="A819" s="18"/>
      <c r="B819" s="19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>
      <c r="A820" s="18"/>
      <c r="B820" s="19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>
      <c r="A821" s="18"/>
      <c r="B821" s="19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>
      <c r="A822" s="18"/>
      <c r="B822" s="19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>
      <c r="A823" s="18"/>
      <c r="B823" s="19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>
      <c r="A824" s="18"/>
      <c r="B824" s="19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>
      <c r="A825" s="18"/>
      <c r="B825" s="19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>
      <c r="A826" s="18"/>
      <c r="B826" s="19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>
      <c r="A827" s="18"/>
      <c r="B827" s="19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>
      <c r="A828" s="18"/>
      <c r="B828" s="19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>
      <c r="A829" s="18"/>
      <c r="B829" s="19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>
      <c r="A830" s="18"/>
      <c r="B830" s="19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>
      <c r="A831" s="18"/>
      <c r="B831" s="19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>
      <c r="A832" s="18"/>
      <c r="B832" s="19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>
      <c r="A833" s="18"/>
      <c r="B833" s="19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>
      <c r="A834" s="18"/>
      <c r="B834" s="19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>
      <c r="A835" s="18"/>
      <c r="B835" s="19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>
      <c r="A836" s="18"/>
      <c r="B836" s="19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>
      <c r="A837" s="18"/>
      <c r="B837" s="19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>
      <c r="A838" s="18"/>
      <c r="B838" s="19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>
      <c r="A839" s="18"/>
      <c r="B839" s="19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>
      <c r="A840" s="18"/>
      <c r="B840" s="19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>
      <c r="A841" s="18"/>
      <c r="B841" s="19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>
      <c r="A842" s="18"/>
      <c r="B842" s="19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>
      <c r="A843" s="18"/>
      <c r="B843" s="19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>
      <c r="A844" s="18"/>
      <c r="B844" s="19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>
      <c r="A845" s="18"/>
      <c r="B845" s="19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>
      <c r="A846" s="18"/>
      <c r="B846" s="19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>
      <c r="A847" s="18"/>
      <c r="B847" s="19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>
      <c r="A848" s="18"/>
      <c r="B848" s="19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>
      <c r="A849" s="18"/>
      <c r="B849" s="19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>
      <c r="A850" s="18"/>
      <c r="B850" s="19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>
      <c r="A851" s="18"/>
      <c r="B851" s="19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>
      <c r="A852" s="18"/>
      <c r="B852" s="19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>
      <c r="A853" s="18"/>
      <c r="B853" s="19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>
      <c r="A854" s="18"/>
      <c r="B854" s="19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>
      <c r="A855" s="18"/>
      <c r="B855" s="19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>
      <c r="A856" s="18"/>
      <c r="B856" s="19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>
      <c r="A857" s="18"/>
      <c r="B857" s="19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>
      <c r="A858" s="18"/>
      <c r="B858" s="19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>
      <c r="A859" s="18"/>
      <c r="B859" s="19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>
      <c r="A860" s="18"/>
      <c r="B860" s="19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>
      <c r="A861" s="18"/>
      <c r="B861" s="19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>
      <c r="A862" s="18"/>
      <c r="B862" s="19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>
      <c r="A863" s="18"/>
      <c r="B863" s="19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>
      <c r="A864" s="18"/>
      <c r="B864" s="19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>
      <c r="A865" s="18"/>
      <c r="B865" s="19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>
      <c r="A866" s="18"/>
      <c r="B866" s="19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>
      <c r="A867" s="18"/>
      <c r="B867" s="19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>
      <c r="A868" s="18"/>
      <c r="B868" s="19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>
      <c r="A869" s="18"/>
      <c r="B869" s="19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>
      <c r="A870" s="18"/>
      <c r="B870" s="19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>
      <c r="A871" s="18"/>
      <c r="B871" s="19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>
      <c r="A872" s="18"/>
      <c r="B872" s="19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>
      <c r="A873" s="18"/>
      <c r="B873" s="19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>
      <c r="A874" s="18"/>
      <c r="B874" s="19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>
      <c r="A875" s="18"/>
      <c r="B875" s="19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>
      <c r="A876" s="18"/>
      <c r="B876" s="19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>
      <c r="A877" s="18"/>
      <c r="B877" s="19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>
      <c r="A878" s="18"/>
      <c r="B878" s="19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>
      <c r="A879" s="18"/>
      <c r="B879" s="19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>
      <c r="A880" s="18"/>
      <c r="B880" s="19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>
      <c r="A881" s="18"/>
      <c r="B881" s="19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>
      <c r="A882" s="18"/>
      <c r="B882" s="19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>
      <c r="A883" s="18"/>
      <c r="B883" s="19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>
      <c r="A884" s="18"/>
      <c r="B884" s="19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>
      <c r="A885" s="18"/>
      <c r="B885" s="19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>
      <c r="A886" s="18"/>
      <c r="B886" s="19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>
      <c r="A887" s="18"/>
      <c r="B887" s="19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>
      <c r="A888" s="18"/>
      <c r="B888" s="19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>
      <c r="A889" s="18"/>
      <c r="B889" s="19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>
      <c r="A890" s="18"/>
      <c r="B890" s="19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>
      <c r="A891" s="18"/>
      <c r="B891" s="19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>
      <c r="A892" s="18"/>
      <c r="B892" s="19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>
      <c r="A893" s="18"/>
      <c r="B893" s="19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>
      <c r="A894" s="18"/>
      <c r="B894" s="19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>
      <c r="A895" s="18"/>
      <c r="B895" s="19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>
      <c r="A896" s="18"/>
      <c r="B896" s="19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>
      <c r="A897" s="18"/>
      <c r="B897" s="19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>
      <c r="A898" s="18"/>
      <c r="B898" s="19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>
      <c r="A899" s="18"/>
      <c r="B899" s="19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>
      <c r="A900" s="18"/>
      <c r="B900" s="19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>
      <c r="A901" s="18"/>
      <c r="B901" s="19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>
      <c r="A902" s="18"/>
      <c r="B902" s="19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>
      <c r="A903" s="18"/>
      <c r="B903" s="19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>
      <c r="A904" s="18"/>
      <c r="B904" s="19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>
      <c r="A905" s="18"/>
      <c r="B905" s="19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>
      <c r="A906" s="18"/>
      <c r="B906" s="19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>
      <c r="A907" s="18"/>
      <c r="B907" s="19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>
      <c r="A908" s="18"/>
      <c r="B908" s="19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>
      <c r="A909" s="18"/>
      <c r="B909" s="19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>
      <c r="A910" s="18"/>
      <c r="B910" s="19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>
      <c r="A911" s="18"/>
      <c r="B911" s="19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>
      <c r="A912" s="18"/>
      <c r="B912" s="19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>
      <c r="A913" s="18"/>
      <c r="B913" s="19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>
      <c r="A914" s="18"/>
      <c r="B914" s="19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>
      <c r="A915" s="18"/>
      <c r="B915" s="19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>
      <c r="A916" s="18"/>
      <c r="B916" s="19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>
      <c r="A917" s="18"/>
      <c r="B917" s="19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>
      <c r="A918" s="18"/>
      <c r="B918" s="19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>
      <c r="A919" s="18"/>
      <c r="B919" s="19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>
      <c r="A920" s="18"/>
      <c r="B920" s="19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>
      <c r="A921" s="18"/>
      <c r="B921" s="19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>
      <c r="A922" s="18"/>
      <c r="B922" s="19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>
      <c r="A923" s="18"/>
      <c r="B923" s="19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>
      <c r="A924" s="18"/>
      <c r="B924" s="19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>
      <c r="A925" s="18"/>
      <c r="B925" s="19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>
      <c r="A926" s="18"/>
      <c r="B926" s="19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>
      <c r="A927" s="18"/>
      <c r="B927" s="19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>
      <c r="A928" s="18"/>
      <c r="B928" s="19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>
      <c r="A929" s="18"/>
      <c r="B929" s="19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>
      <c r="A930" s="18"/>
      <c r="B930" s="19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>
      <c r="A931" s="18"/>
      <c r="B931" s="19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>
      <c r="A932" s="18"/>
      <c r="B932" s="19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>
      <c r="A933" s="18"/>
      <c r="B933" s="19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>
      <c r="A934" s="18"/>
      <c r="B934" s="19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>
      <c r="A935" s="18"/>
      <c r="B935" s="19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>
      <c r="A936" s="18"/>
      <c r="B936" s="19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>
      <c r="A937" s="18"/>
      <c r="B937" s="19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>
      <c r="A938" s="18"/>
      <c r="B938" s="19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>
      <c r="A939" s="18"/>
      <c r="B939" s="19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>
      <c r="A940" s="18"/>
      <c r="B940" s="19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>
      <c r="A941" s="18"/>
      <c r="B941" s="19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>
      <c r="A942" s="18"/>
      <c r="B942" s="19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>
      <c r="A943" s="18"/>
      <c r="B943" s="19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>
      <c r="A944" s="18"/>
      <c r="B944" s="19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>
      <c r="A945" s="18"/>
      <c r="B945" s="19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>
      <c r="A946" s="18"/>
      <c r="B946" s="19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>
      <c r="A947" s="18"/>
      <c r="B947" s="19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>
      <c r="A948" s="18"/>
      <c r="B948" s="19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>
      <c r="A949" s="18"/>
      <c r="B949" s="19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>
      <c r="A950" s="18"/>
      <c r="B950" s="19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>
      <c r="A951" s="18"/>
      <c r="B951" s="19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>
      <c r="A952" s="18"/>
      <c r="B952" s="19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>
      <c r="A953" s="18"/>
      <c r="B953" s="19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>
      <c r="A954" s="18"/>
      <c r="B954" s="19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>
      <c r="A955" s="18"/>
      <c r="B955" s="19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>
      <c r="A956" s="18"/>
      <c r="B956" s="19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>
      <c r="A957" s="18"/>
      <c r="B957" s="19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>
      <c r="A958" s="18"/>
      <c r="B958" s="19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>
      <c r="A959" s="18"/>
      <c r="B959" s="19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>
      <c r="A960" s="18"/>
      <c r="B960" s="19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>
      <c r="A961" s="18"/>
      <c r="B961" s="19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>
      <c r="A962" s="18"/>
      <c r="B962" s="19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>
      <c r="A963" s="18"/>
      <c r="B963" s="19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>
      <c r="A964" s="18"/>
      <c r="B964" s="19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>
      <c r="A965" s="18"/>
      <c r="B965" s="19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>
      <c r="A966" s="18"/>
      <c r="B966" s="19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>
      <c r="A967" s="18"/>
      <c r="B967" s="19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>
      <c r="A968" s="18"/>
      <c r="B968" s="19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>
      <c r="A969" s="18"/>
      <c r="B969" s="19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>
      <c r="A970" s="18"/>
      <c r="B970" s="19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>
      <c r="A971" s="18"/>
      <c r="B971" s="19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>
      <c r="A972" s="18"/>
      <c r="B972" s="19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>
      <c r="A973" s="18"/>
      <c r="B973" s="19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>
      <c r="A974" s="18"/>
      <c r="B974" s="19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>
      <c r="A975" s="18"/>
      <c r="B975" s="19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>
      <c r="A976" s="18"/>
      <c r="B976" s="19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>
      <c r="A977" s="18"/>
      <c r="B977" s="19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>
      <c r="A978" s="18"/>
      <c r="B978" s="19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>
      <c r="A979" s="18"/>
      <c r="B979" s="19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>
      <c r="A980" s="18"/>
      <c r="B980" s="19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>
      <c r="A981" s="18"/>
      <c r="B981" s="19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>
      <c r="A982" s="18"/>
      <c r="B982" s="19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>
      <c r="A983" s="18"/>
      <c r="B983" s="19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>
      <c r="A984" s="18"/>
      <c r="B984" s="19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>
      <c r="A985" s="18"/>
      <c r="B985" s="19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>
      <c r="A986" s="18"/>
      <c r="B986" s="19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21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>
      <c r="A987" s="18"/>
      <c r="B987" s="19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21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>
      <c r="A988" s="18"/>
      <c r="B988" s="19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21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>
      <c r="A989" s="18"/>
      <c r="B989" s="19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21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>
      <c r="A990" s="18"/>
      <c r="B990" s="19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21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>
      <c r="A991" s="18"/>
      <c r="B991" s="19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21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>
      <c r="A992" s="18"/>
      <c r="B992" s="19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21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>
      <c r="A993" s="18"/>
      <c r="B993" s="19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21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>
      <c r="A994" s="18"/>
      <c r="B994" s="19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21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</sheetData>
  <mergeCells count="8">
    <mergeCell ref="A1:A2"/>
    <mergeCell ref="B1:E1"/>
    <mergeCell ref="F1:I1"/>
    <mergeCell ref="J1:M1"/>
    <mergeCell ref="N1:Q1"/>
    <mergeCell ref="R1:U1"/>
    <mergeCell ref="V1:Y1"/>
    <mergeCell ref="Z1:AC1"/>
  </mergeCells>
  <printOptions gridLines="1" horizontalCentered="1"/>
  <pageMargins bottom="0.75" footer="0.0" header="0.0" left="0.25" right="0.25" top="0.75"/>
  <pageSetup cellComments="atEnd" orientation="landscape" pageOrder="overThenDown" paperHeight="5.799999999999999in" paperWidth="14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55.5"/>
  </cols>
  <sheetData>
    <row r="1">
      <c r="A1" s="22" t="s">
        <v>0</v>
      </c>
      <c r="B1" s="23" t="s">
        <v>1</v>
      </c>
      <c r="C1" s="3"/>
      <c r="D1" s="3"/>
      <c r="E1" s="4"/>
      <c r="F1" s="23" t="s">
        <v>2</v>
      </c>
      <c r="G1" s="3"/>
      <c r="H1" s="3"/>
      <c r="I1" s="4"/>
      <c r="J1" s="23" t="s">
        <v>3</v>
      </c>
      <c r="K1" s="3"/>
      <c r="L1" s="3"/>
      <c r="M1" s="4"/>
      <c r="N1" s="23" t="s">
        <v>4</v>
      </c>
      <c r="O1" s="3"/>
      <c r="P1" s="3"/>
      <c r="Q1" s="4"/>
      <c r="R1" s="23" t="s">
        <v>5</v>
      </c>
      <c r="S1" s="3"/>
      <c r="T1" s="3"/>
      <c r="U1" s="4"/>
      <c r="V1" s="23" t="s">
        <v>6</v>
      </c>
      <c r="W1" s="3"/>
      <c r="X1" s="3"/>
      <c r="Y1" s="4"/>
      <c r="Z1" s="23" t="s">
        <v>28</v>
      </c>
      <c r="AA1" s="3"/>
      <c r="AB1" s="3"/>
      <c r="AC1" s="4"/>
      <c r="AD1" s="24"/>
    </row>
    <row r="2">
      <c r="A2" s="7"/>
      <c r="B2" s="25">
        <v>2022.0</v>
      </c>
      <c r="C2" s="25">
        <v>2023.0</v>
      </c>
      <c r="D2" s="25">
        <v>2024.0</v>
      </c>
      <c r="E2" s="25">
        <v>2025.0</v>
      </c>
      <c r="F2" s="25">
        <v>2022.0</v>
      </c>
      <c r="G2" s="25">
        <v>2023.0</v>
      </c>
      <c r="H2" s="25">
        <v>2024.0</v>
      </c>
      <c r="I2" s="25">
        <v>2025.0</v>
      </c>
      <c r="J2" s="25">
        <v>2022.0</v>
      </c>
      <c r="K2" s="25">
        <v>2023.0</v>
      </c>
      <c r="L2" s="25" t="s">
        <v>29</v>
      </c>
      <c r="M2" s="25" t="s">
        <v>8</v>
      </c>
      <c r="N2" s="25">
        <v>2022.0</v>
      </c>
      <c r="O2" s="25">
        <v>2023.0</v>
      </c>
      <c r="P2" s="25">
        <v>2024.0</v>
      </c>
      <c r="Q2" s="25" t="s">
        <v>9</v>
      </c>
      <c r="R2" s="25">
        <v>2022.0</v>
      </c>
      <c r="S2" s="25">
        <v>2023.0</v>
      </c>
      <c r="T2" s="25">
        <v>2024.0</v>
      </c>
      <c r="U2" s="25">
        <v>2025.0</v>
      </c>
      <c r="V2" s="25">
        <v>2022.0</v>
      </c>
      <c r="W2" s="25">
        <v>2023.0</v>
      </c>
      <c r="X2" s="25">
        <v>2024.0</v>
      </c>
      <c r="Y2" s="25">
        <v>2025.0</v>
      </c>
      <c r="Z2" s="25">
        <v>2022.0</v>
      </c>
      <c r="AA2" s="25">
        <v>2023.0</v>
      </c>
      <c r="AB2" s="25">
        <v>2024.0</v>
      </c>
      <c r="AC2" s="25">
        <v>2025.0</v>
      </c>
      <c r="AD2" s="24"/>
    </row>
    <row r="3">
      <c r="A3" s="26" t="s">
        <v>10</v>
      </c>
      <c r="B3" s="27">
        <v>16525.78</v>
      </c>
      <c r="C3" s="27">
        <v>18541.32</v>
      </c>
      <c r="D3" s="27">
        <v>19266.67</v>
      </c>
      <c r="E3" s="27">
        <v>21082.58</v>
      </c>
      <c r="F3" s="28">
        <v>44050.68</v>
      </c>
      <c r="G3" s="28">
        <v>46608.45</v>
      </c>
      <c r="H3" s="28">
        <v>49367.5</v>
      </c>
      <c r="I3" s="27">
        <v>55984.25</v>
      </c>
      <c r="J3" s="28">
        <v>2530.73</v>
      </c>
      <c r="K3" s="28">
        <v>2516.65</v>
      </c>
      <c r="L3" s="28">
        <v>2762.53</v>
      </c>
      <c r="M3" s="28">
        <v>2762.53</v>
      </c>
      <c r="N3" s="29">
        <v>207716.66</v>
      </c>
      <c r="O3" s="29">
        <v>221650.61</v>
      </c>
      <c r="P3" s="29">
        <v>237631.6</v>
      </c>
      <c r="Q3" s="29">
        <v>267710.3</v>
      </c>
      <c r="R3" s="28">
        <v>211490.54</v>
      </c>
      <c r="S3" s="30">
        <v>224291.41</v>
      </c>
      <c r="T3" s="30">
        <v>237348.86</v>
      </c>
      <c r="U3" s="30">
        <v>253907.09</v>
      </c>
      <c r="V3" s="27">
        <v>303510.39</v>
      </c>
      <c r="W3" s="27">
        <v>326087.35</v>
      </c>
      <c r="X3" s="27">
        <v>337697.52</v>
      </c>
      <c r="Y3" s="28">
        <v>365375.14</v>
      </c>
      <c r="Z3" s="31">
        <f t="shared" ref="Z3:AC3" si="1">SUM(B3,F3,J3,N3,R3,V3)</f>
        <v>785824.78</v>
      </c>
      <c r="AA3" s="31">
        <f t="shared" si="1"/>
        <v>839695.79</v>
      </c>
      <c r="AB3" s="31">
        <f t="shared" si="1"/>
        <v>884074.68</v>
      </c>
      <c r="AC3" s="31">
        <f t="shared" si="1"/>
        <v>966821.89</v>
      </c>
      <c r="AD3" s="32"/>
    </row>
    <row r="4">
      <c r="A4" s="33" t="s">
        <v>11</v>
      </c>
      <c r="B4" s="27">
        <v>713.77</v>
      </c>
      <c r="C4" s="27">
        <v>799.92</v>
      </c>
      <c r="D4" s="27">
        <v>871.35</v>
      </c>
      <c r="E4" s="27">
        <v>791.27</v>
      </c>
      <c r="F4" s="28">
        <v>4142.46</v>
      </c>
      <c r="G4" s="28">
        <v>3504.21</v>
      </c>
      <c r="H4" s="28">
        <v>3321.9</v>
      </c>
      <c r="I4" s="27">
        <v>3441.02</v>
      </c>
      <c r="J4" s="28">
        <v>8031.15</v>
      </c>
      <c r="K4" s="28">
        <v>6005.63</v>
      </c>
      <c r="L4" s="28">
        <v>5717.42</v>
      </c>
      <c r="M4" s="28">
        <v>5717.42</v>
      </c>
      <c r="N4" s="28">
        <v>27934.5</v>
      </c>
      <c r="O4" s="29">
        <v>26089.3</v>
      </c>
      <c r="P4" s="29">
        <v>27360.32</v>
      </c>
      <c r="Q4" s="29">
        <v>27600.49</v>
      </c>
      <c r="R4" s="34">
        <v>37723.92</v>
      </c>
      <c r="S4" s="30">
        <v>38102.94</v>
      </c>
      <c r="T4" s="30">
        <v>39211.8</v>
      </c>
      <c r="U4" s="30">
        <v>40556.56</v>
      </c>
      <c r="V4" s="27">
        <v>119698.47</v>
      </c>
      <c r="W4" s="27">
        <v>112701.63</v>
      </c>
      <c r="X4" s="27">
        <v>113344.46</v>
      </c>
      <c r="Y4" s="27">
        <v>113099.01</v>
      </c>
      <c r="Z4" s="31">
        <f t="shared" ref="Z4:AC4" si="2">SUM(B4,F4,J4,N4,R4,V4)</f>
        <v>198244.27</v>
      </c>
      <c r="AA4" s="31">
        <f t="shared" si="2"/>
        <v>187203.63</v>
      </c>
      <c r="AB4" s="31">
        <f t="shared" si="2"/>
        <v>189827.25</v>
      </c>
      <c r="AC4" s="31">
        <f t="shared" si="2"/>
        <v>191205.77</v>
      </c>
      <c r="AD4" s="32"/>
    </row>
    <row r="5">
      <c r="A5" s="33" t="s">
        <v>12</v>
      </c>
      <c r="B5" s="27">
        <v>19775.46</v>
      </c>
      <c r="C5" s="27">
        <v>21352.59</v>
      </c>
      <c r="D5" s="27">
        <v>22927.55</v>
      </c>
      <c r="E5" s="27">
        <v>24552.34</v>
      </c>
      <c r="F5" s="28">
        <v>227665.58</v>
      </c>
      <c r="G5" s="28">
        <v>246265.69</v>
      </c>
      <c r="H5" s="28">
        <v>265140.7</v>
      </c>
      <c r="I5" s="27">
        <v>285314.72</v>
      </c>
      <c r="J5" s="28">
        <v>391219.26</v>
      </c>
      <c r="K5" s="28">
        <v>408799.84</v>
      </c>
      <c r="L5" s="28">
        <v>422940.32</v>
      </c>
      <c r="M5" s="28">
        <v>422940.32</v>
      </c>
      <c r="N5" s="28">
        <v>1023400.77</v>
      </c>
      <c r="O5" s="28">
        <v>1099081.21</v>
      </c>
      <c r="P5" s="29">
        <v>1168548.23</v>
      </c>
      <c r="Q5" s="29">
        <v>1227809.0</v>
      </c>
      <c r="R5" s="28">
        <v>529181.82</v>
      </c>
      <c r="S5" s="30">
        <v>576208.65</v>
      </c>
      <c r="T5" s="30">
        <v>614658.98</v>
      </c>
      <c r="U5" s="30">
        <v>648749.29</v>
      </c>
      <c r="V5" s="27">
        <v>835393.31</v>
      </c>
      <c r="W5" s="27">
        <v>901185.69</v>
      </c>
      <c r="X5" s="27">
        <v>977507.54</v>
      </c>
      <c r="Y5" s="27">
        <v>1065685.79</v>
      </c>
      <c r="Z5" s="31">
        <f t="shared" ref="Z5:AC5" si="3">SUM(B5,F5,J5,N5,R5,V5)</f>
        <v>3026636.2</v>
      </c>
      <c r="AA5" s="31">
        <f t="shared" si="3"/>
        <v>3252893.67</v>
      </c>
      <c r="AB5" s="31">
        <f t="shared" si="3"/>
        <v>3471723.32</v>
      </c>
      <c r="AC5" s="31">
        <f t="shared" si="3"/>
        <v>3675051.46</v>
      </c>
      <c r="AD5" s="32"/>
    </row>
    <row r="6">
      <c r="A6" s="33" t="s">
        <v>13</v>
      </c>
      <c r="B6" s="27">
        <v>223.58</v>
      </c>
      <c r="C6" s="27">
        <v>250.0</v>
      </c>
      <c r="D6" s="27">
        <v>277.56</v>
      </c>
      <c r="E6" s="27">
        <v>292.22</v>
      </c>
      <c r="F6" s="28">
        <v>13017.8</v>
      </c>
      <c r="G6" s="28">
        <v>12785.13</v>
      </c>
      <c r="H6" s="28">
        <v>10831.56</v>
      </c>
      <c r="I6" s="27">
        <v>11372.92</v>
      </c>
      <c r="J6" s="28">
        <v>7486.94</v>
      </c>
      <c r="K6" s="28">
        <v>6878.99</v>
      </c>
      <c r="L6" s="28">
        <v>5628.35</v>
      </c>
      <c r="M6" s="28">
        <v>5628.35</v>
      </c>
      <c r="N6" s="28">
        <v>12161.53</v>
      </c>
      <c r="O6" s="28">
        <v>12221.17</v>
      </c>
      <c r="P6" s="29">
        <v>12059.32</v>
      </c>
      <c r="Q6" s="29">
        <v>12551.2</v>
      </c>
      <c r="R6" s="30">
        <v>1438.0</v>
      </c>
      <c r="S6" s="30">
        <v>1556.85</v>
      </c>
      <c r="T6" s="30">
        <v>1675.83</v>
      </c>
      <c r="U6" s="30">
        <v>1752.77</v>
      </c>
      <c r="V6" s="27">
        <v>8042.88</v>
      </c>
      <c r="W6" s="27">
        <v>10374.52</v>
      </c>
      <c r="X6" s="27">
        <v>11181.77</v>
      </c>
      <c r="Y6" s="27">
        <v>11981.83</v>
      </c>
      <c r="Z6" s="31">
        <f t="shared" ref="Z6:AC6" si="4">SUM(B6,F6,J6,N6,R6,V6)</f>
        <v>42370.73</v>
      </c>
      <c r="AA6" s="31">
        <f t="shared" si="4"/>
        <v>44066.66</v>
      </c>
      <c r="AB6" s="31">
        <f t="shared" si="4"/>
        <v>41654.39</v>
      </c>
      <c r="AC6" s="31">
        <f t="shared" si="4"/>
        <v>43579.29</v>
      </c>
      <c r="AD6" s="32"/>
    </row>
    <row r="7">
      <c r="A7" s="26" t="s">
        <v>14</v>
      </c>
      <c r="B7" s="27">
        <v>162.57</v>
      </c>
      <c r="C7" s="27">
        <v>171.98</v>
      </c>
      <c r="D7" s="27">
        <v>174.22</v>
      </c>
      <c r="E7" s="27">
        <v>174.28</v>
      </c>
      <c r="F7" s="28">
        <v>612.68</v>
      </c>
      <c r="G7" s="28">
        <v>652.28</v>
      </c>
      <c r="H7" s="28">
        <v>718.35</v>
      </c>
      <c r="I7" s="27">
        <v>769.82</v>
      </c>
      <c r="J7" s="28">
        <v>984.18</v>
      </c>
      <c r="K7" s="28">
        <v>1057.43</v>
      </c>
      <c r="L7" s="28">
        <v>1121.37</v>
      </c>
      <c r="M7" s="28">
        <v>1121.37</v>
      </c>
      <c r="N7" s="28">
        <v>2485.54</v>
      </c>
      <c r="O7" s="28">
        <v>2575.78</v>
      </c>
      <c r="P7" s="29">
        <v>2872.12</v>
      </c>
      <c r="Q7" s="29">
        <v>3044.19</v>
      </c>
      <c r="R7" s="30">
        <v>938.29</v>
      </c>
      <c r="S7" s="30">
        <v>985.79</v>
      </c>
      <c r="T7" s="30">
        <v>1066.34</v>
      </c>
      <c r="U7" s="30">
        <v>1123.96</v>
      </c>
      <c r="V7" s="27">
        <v>2443.2</v>
      </c>
      <c r="W7" s="27">
        <v>2541.86</v>
      </c>
      <c r="X7" s="27">
        <v>2626.96</v>
      </c>
      <c r="Y7" s="27">
        <v>2763.35</v>
      </c>
      <c r="Z7" s="31">
        <f t="shared" ref="Z7:AC7" si="5">SUM(B7,F7,J7,N7,R7,V7)</f>
        <v>7626.46</v>
      </c>
      <c r="AA7" s="31">
        <f t="shared" si="5"/>
        <v>7985.12</v>
      </c>
      <c r="AB7" s="31">
        <f t="shared" si="5"/>
        <v>8579.36</v>
      </c>
      <c r="AC7" s="31">
        <f t="shared" si="5"/>
        <v>8996.97</v>
      </c>
      <c r="AD7" s="32"/>
    </row>
    <row r="8">
      <c r="A8" s="33" t="s">
        <v>15</v>
      </c>
      <c r="B8" s="27">
        <v>16440.15</v>
      </c>
      <c r="C8" s="27">
        <v>17036.95</v>
      </c>
      <c r="D8" s="27">
        <v>18627.62</v>
      </c>
      <c r="E8" s="27">
        <v>20420.61</v>
      </c>
      <c r="F8" s="28">
        <v>91184.67</v>
      </c>
      <c r="G8" s="28">
        <v>95666.94</v>
      </c>
      <c r="H8" s="28">
        <v>102165.15</v>
      </c>
      <c r="I8" s="27">
        <v>110523.6</v>
      </c>
      <c r="J8" s="28">
        <v>351920.99</v>
      </c>
      <c r="K8" s="28">
        <v>372447.93</v>
      </c>
      <c r="L8" s="28">
        <v>401305.8</v>
      </c>
      <c r="M8" s="28">
        <v>401305.8</v>
      </c>
      <c r="N8" s="28">
        <v>202276.62</v>
      </c>
      <c r="O8" s="28">
        <v>221150.71</v>
      </c>
      <c r="P8" s="29">
        <v>238500.79</v>
      </c>
      <c r="Q8" s="29">
        <v>253691.2</v>
      </c>
      <c r="R8" s="30">
        <v>172199.81</v>
      </c>
      <c r="S8" s="30">
        <v>190384.35</v>
      </c>
      <c r="T8" s="30">
        <v>207039.33</v>
      </c>
      <c r="U8" s="30">
        <v>222900.55</v>
      </c>
      <c r="V8" s="27">
        <v>246876.37</v>
      </c>
      <c r="W8" s="27">
        <v>263243.87</v>
      </c>
      <c r="X8" s="27">
        <v>284121.28</v>
      </c>
      <c r="Y8" s="27">
        <v>299579.06</v>
      </c>
      <c r="Z8" s="31">
        <f t="shared" ref="Z8:AC8" si="6">SUM(B8,F8,J8,N8,R8,V8)</f>
        <v>1080898.61</v>
      </c>
      <c r="AA8" s="31">
        <f t="shared" si="6"/>
        <v>1159930.75</v>
      </c>
      <c r="AB8" s="31">
        <f t="shared" si="6"/>
        <v>1251759.97</v>
      </c>
      <c r="AC8" s="31">
        <f t="shared" si="6"/>
        <v>1308420.82</v>
      </c>
      <c r="AD8" s="32"/>
    </row>
    <row r="9">
      <c r="A9" s="33" t="s">
        <v>16</v>
      </c>
      <c r="B9" s="27">
        <v>13677.56</v>
      </c>
      <c r="C9" s="27">
        <v>14768.7</v>
      </c>
      <c r="D9" s="27">
        <v>15623.23</v>
      </c>
      <c r="E9" s="27">
        <v>16761.57</v>
      </c>
      <c r="F9" s="28">
        <v>93547.29</v>
      </c>
      <c r="G9" s="28">
        <v>101006.64</v>
      </c>
      <c r="H9" s="28">
        <v>108163.85</v>
      </c>
      <c r="I9" s="27">
        <v>115667.09</v>
      </c>
      <c r="J9" s="28">
        <v>555567.92</v>
      </c>
      <c r="K9" s="28">
        <v>608311.63</v>
      </c>
      <c r="L9" s="28">
        <v>662471.32</v>
      </c>
      <c r="M9" s="28">
        <v>662471.32</v>
      </c>
      <c r="N9" s="28">
        <v>348996.55</v>
      </c>
      <c r="O9" s="28">
        <v>378832.69</v>
      </c>
      <c r="P9" s="29">
        <v>408257.19</v>
      </c>
      <c r="Q9" s="29">
        <v>438021.6</v>
      </c>
      <c r="R9" s="30">
        <v>212208.01</v>
      </c>
      <c r="S9" s="30">
        <v>230723.26</v>
      </c>
      <c r="T9" s="30">
        <v>245140.47</v>
      </c>
      <c r="U9" s="30">
        <v>262081.27</v>
      </c>
      <c r="V9" s="27">
        <v>509889.56</v>
      </c>
      <c r="W9" s="27">
        <v>558385.86</v>
      </c>
      <c r="X9" s="27">
        <v>596083.66</v>
      </c>
      <c r="Y9" s="27">
        <v>631235.53</v>
      </c>
      <c r="Z9" s="31">
        <f t="shared" ref="Z9:AC9" si="7">SUM(B9,F9,J9,N9,R9,V9)</f>
        <v>1733886.89</v>
      </c>
      <c r="AA9" s="31">
        <f t="shared" si="7"/>
        <v>1892028.78</v>
      </c>
      <c r="AB9" s="31">
        <f t="shared" si="7"/>
        <v>2035739.72</v>
      </c>
      <c r="AC9" s="31">
        <f t="shared" si="7"/>
        <v>2126238.38</v>
      </c>
      <c r="AD9" s="32"/>
    </row>
    <row r="10">
      <c r="A10" s="33" t="s">
        <v>17</v>
      </c>
      <c r="B10" s="27">
        <v>8483.54</v>
      </c>
      <c r="C10" s="27">
        <v>10135.39</v>
      </c>
      <c r="D10" s="27">
        <v>11282.92</v>
      </c>
      <c r="E10" s="27">
        <v>11933.75</v>
      </c>
      <c r="F10" s="28">
        <v>71161.82</v>
      </c>
      <c r="G10" s="28">
        <v>90542.7</v>
      </c>
      <c r="H10" s="28">
        <v>100200.91</v>
      </c>
      <c r="I10" s="27">
        <v>103587.51</v>
      </c>
      <c r="J10" s="28">
        <v>126971.27</v>
      </c>
      <c r="K10" s="28">
        <v>151850.8</v>
      </c>
      <c r="L10" s="28">
        <v>166936.1</v>
      </c>
      <c r="M10" s="28">
        <v>166936.1</v>
      </c>
      <c r="N10" s="29">
        <v>130202.05</v>
      </c>
      <c r="O10" s="28">
        <v>155099.82</v>
      </c>
      <c r="P10" s="29">
        <v>176286.29</v>
      </c>
      <c r="Q10" s="29">
        <v>200138.9</v>
      </c>
      <c r="R10" s="30">
        <v>59256.75</v>
      </c>
      <c r="S10" s="30">
        <v>69538.67</v>
      </c>
      <c r="T10" s="30">
        <v>74443.94</v>
      </c>
      <c r="U10" s="30">
        <v>80201.66</v>
      </c>
      <c r="V10" s="27">
        <v>96434.87</v>
      </c>
      <c r="W10" s="27">
        <v>119171.36</v>
      </c>
      <c r="X10" s="27">
        <v>132252.92</v>
      </c>
      <c r="Y10" s="27">
        <v>142333.91</v>
      </c>
      <c r="Z10" s="31">
        <f t="shared" ref="Z10:AC10" si="8">SUM(B10,F10,J10,N10,R10,V10)</f>
        <v>492510.3</v>
      </c>
      <c r="AA10" s="31">
        <f t="shared" si="8"/>
        <v>596338.74</v>
      </c>
      <c r="AB10" s="31">
        <f t="shared" si="8"/>
        <v>661403.08</v>
      </c>
      <c r="AC10" s="31">
        <f t="shared" si="8"/>
        <v>705131.83</v>
      </c>
      <c r="AD10" s="32"/>
    </row>
    <row r="11">
      <c r="A11" s="33" t="s">
        <v>18</v>
      </c>
      <c r="B11" s="27">
        <v>16374.44</v>
      </c>
      <c r="C11" s="27">
        <v>18421.95</v>
      </c>
      <c r="D11" s="27">
        <v>20534.52</v>
      </c>
      <c r="E11" s="27">
        <v>22713.47</v>
      </c>
      <c r="F11" s="28">
        <v>17447.46</v>
      </c>
      <c r="G11" s="28">
        <v>19150.09</v>
      </c>
      <c r="H11" s="28">
        <v>21071.86</v>
      </c>
      <c r="I11" s="27">
        <v>22828.46</v>
      </c>
      <c r="J11" s="28">
        <v>143663.36</v>
      </c>
      <c r="K11" s="28">
        <v>161237.93</v>
      </c>
      <c r="L11" s="28">
        <v>178510.88</v>
      </c>
      <c r="M11" s="28">
        <v>178510.88</v>
      </c>
      <c r="N11" s="28">
        <v>69670.16</v>
      </c>
      <c r="O11" s="28">
        <v>79501.42</v>
      </c>
      <c r="P11" s="29">
        <v>86660.1</v>
      </c>
      <c r="Q11" s="29">
        <v>97413.82</v>
      </c>
      <c r="R11" s="30">
        <v>51316.31</v>
      </c>
      <c r="S11" s="30">
        <v>57757.14</v>
      </c>
      <c r="T11" s="30">
        <v>64731.32</v>
      </c>
      <c r="U11" s="30">
        <v>72617.6</v>
      </c>
      <c r="V11" s="27">
        <v>154142.37</v>
      </c>
      <c r="W11" s="27">
        <v>173189.33</v>
      </c>
      <c r="X11" s="27">
        <v>189716.7</v>
      </c>
      <c r="Y11" s="27">
        <v>208494.46</v>
      </c>
      <c r="Z11" s="31">
        <f t="shared" ref="Z11:AC11" si="9">SUM(B11,F11,J11,N11,R11,V11)</f>
        <v>452614.1</v>
      </c>
      <c r="AA11" s="31">
        <f t="shared" si="9"/>
        <v>509257.86</v>
      </c>
      <c r="AB11" s="31">
        <f t="shared" si="9"/>
        <v>561225.38</v>
      </c>
      <c r="AC11" s="31">
        <f t="shared" si="9"/>
        <v>602578.69</v>
      </c>
      <c r="AD11" s="32"/>
    </row>
    <row r="12">
      <c r="A12" s="33" t="s">
        <v>19</v>
      </c>
      <c r="B12" s="27">
        <v>17073.16</v>
      </c>
      <c r="C12" s="27">
        <v>18110.08</v>
      </c>
      <c r="D12" s="27">
        <v>18931.12</v>
      </c>
      <c r="E12" s="27">
        <v>20056.23</v>
      </c>
      <c r="F12" s="28">
        <v>28218.24</v>
      </c>
      <c r="G12" s="28">
        <v>30601.82</v>
      </c>
      <c r="H12" s="28">
        <v>32734.19</v>
      </c>
      <c r="I12" s="27">
        <v>34663.22</v>
      </c>
      <c r="J12" s="28">
        <v>294865.58</v>
      </c>
      <c r="K12" s="28">
        <v>320987.64</v>
      </c>
      <c r="L12" s="28">
        <v>342477.64</v>
      </c>
      <c r="M12" s="28">
        <v>342477.64</v>
      </c>
      <c r="N12" s="28">
        <v>92644.33</v>
      </c>
      <c r="O12" s="28">
        <v>100002.58</v>
      </c>
      <c r="P12" s="29">
        <v>108134.62</v>
      </c>
      <c r="Q12" s="29">
        <v>117665.0</v>
      </c>
      <c r="R12" s="30">
        <v>62593.23</v>
      </c>
      <c r="S12" s="30">
        <v>69420.57</v>
      </c>
      <c r="T12" s="30">
        <v>76438.36</v>
      </c>
      <c r="U12" s="30">
        <v>83408.76</v>
      </c>
      <c r="V12" s="27">
        <v>135673.33</v>
      </c>
      <c r="W12" s="27">
        <v>145547.25</v>
      </c>
      <c r="X12" s="27">
        <v>156394.33</v>
      </c>
      <c r="Y12" s="27">
        <v>168566.56</v>
      </c>
      <c r="Z12" s="31">
        <f t="shared" ref="Z12:AC12" si="10">SUM(B12,F12,J12,N12,R12,V12)</f>
        <v>631067.87</v>
      </c>
      <c r="AA12" s="31">
        <f t="shared" si="10"/>
        <v>684669.94</v>
      </c>
      <c r="AB12" s="31">
        <f t="shared" si="10"/>
        <v>735110.26</v>
      </c>
      <c r="AC12" s="31">
        <f t="shared" si="10"/>
        <v>766837.41</v>
      </c>
      <c r="AD12" s="32"/>
    </row>
    <row r="13">
      <c r="A13" s="33" t="s">
        <v>20</v>
      </c>
      <c r="B13" s="27">
        <v>6830.31</v>
      </c>
      <c r="C13" s="27">
        <v>7678.61</v>
      </c>
      <c r="D13" s="27">
        <v>8250.02</v>
      </c>
      <c r="E13" s="27">
        <v>8561.35</v>
      </c>
      <c r="F13" s="28">
        <v>25307.63</v>
      </c>
      <c r="G13" s="28">
        <v>25724.53</v>
      </c>
      <c r="H13" s="28">
        <v>26054.81</v>
      </c>
      <c r="I13" s="27">
        <v>25992.58</v>
      </c>
      <c r="J13" s="28">
        <v>352956.32</v>
      </c>
      <c r="K13" s="28">
        <v>382294.93</v>
      </c>
      <c r="L13" s="28">
        <v>408186.14</v>
      </c>
      <c r="M13" s="28">
        <v>408186.14</v>
      </c>
      <c r="N13" s="28">
        <v>69885.95</v>
      </c>
      <c r="O13" s="28">
        <v>74126.26</v>
      </c>
      <c r="P13" s="29">
        <v>78558.46</v>
      </c>
      <c r="Q13" s="29">
        <v>83737.81</v>
      </c>
      <c r="R13" s="30">
        <v>46920.61</v>
      </c>
      <c r="S13" s="30">
        <v>48965.2</v>
      </c>
      <c r="T13" s="30">
        <v>50560.09</v>
      </c>
      <c r="U13" s="30">
        <v>54552.68</v>
      </c>
      <c r="V13" s="27">
        <v>72592.53</v>
      </c>
      <c r="W13" s="27">
        <v>77073.8</v>
      </c>
      <c r="X13" s="27">
        <v>80978.2</v>
      </c>
      <c r="Y13" s="27">
        <v>84295.03</v>
      </c>
      <c r="Z13" s="31">
        <f t="shared" ref="Z13:AC13" si="11">SUM(B13,F13,J13,N13,R13,V13)</f>
        <v>574493.35</v>
      </c>
      <c r="AA13" s="31">
        <f t="shared" si="11"/>
        <v>615863.33</v>
      </c>
      <c r="AB13" s="31">
        <f t="shared" si="11"/>
        <v>652587.72</v>
      </c>
      <c r="AC13" s="31">
        <f t="shared" si="11"/>
        <v>665325.59</v>
      </c>
      <c r="AD13" s="32"/>
    </row>
    <row r="14">
      <c r="A14" s="33" t="s">
        <v>21</v>
      </c>
      <c r="B14" s="27">
        <v>11195.83</v>
      </c>
      <c r="C14" s="27">
        <v>11930.69</v>
      </c>
      <c r="D14" s="27">
        <v>12540.58</v>
      </c>
      <c r="E14" s="27">
        <v>13482.51</v>
      </c>
      <c r="F14" s="28">
        <v>60289.4</v>
      </c>
      <c r="G14" s="28">
        <v>64183.34</v>
      </c>
      <c r="H14" s="28">
        <v>67427.4</v>
      </c>
      <c r="I14" s="27">
        <v>73458.86</v>
      </c>
      <c r="J14" s="28">
        <v>186183.76</v>
      </c>
      <c r="K14" s="28">
        <v>193776.0</v>
      </c>
      <c r="L14" s="28">
        <v>200045.22</v>
      </c>
      <c r="M14" s="28">
        <v>200045.22</v>
      </c>
      <c r="N14" s="28">
        <v>28413.16</v>
      </c>
      <c r="O14" s="28">
        <v>30746.38</v>
      </c>
      <c r="P14" s="29">
        <v>32865.01</v>
      </c>
      <c r="Q14" s="29">
        <v>35902.46</v>
      </c>
      <c r="R14" s="30">
        <v>25420.79</v>
      </c>
      <c r="S14" s="30">
        <v>27455.79</v>
      </c>
      <c r="T14" s="30">
        <v>29153.89</v>
      </c>
      <c r="U14" s="30">
        <v>31091.49</v>
      </c>
      <c r="V14" s="27">
        <v>44748.26</v>
      </c>
      <c r="W14" s="27">
        <v>46496.44</v>
      </c>
      <c r="X14" s="27">
        <v>48278.29</v>
      </c>
      <c r="Y14" s="27">
        <v>51192.48</v>
      </c>
      <c r="Z14" s="31">
        <f t="shared" ref="Z14:AC14" si="12">SUM(B14,F14,J14,N14,R14,V14)</f>
        <v>356251.2</v>
      </c>
      <c r="AA14" s="31">
        <f t="shared" si="12"/>
        <v>374588.64</v>
      </c>
      <c r="AB14" s="31">
        <f t="shared" si="12"/>
        <v>390310.39</v>
      </c>
      <c r="AC14" s="31">
        <f t="shared" si="12"/>
        <v>405173.02</v>
      </c>
      <c r="AD14" s="32"/>
    </row>
    <row r="15">
      <c r="A15" s="33" t="s">
        <v>22</v>
      </c>
      <c r="B15" s="27">
        <v>1548.81</v>
      </c>
      <c r="C15" s="27">
        <v>1741.21</v>
      </c>
      <c r="D15" s="27">
        <v>1873.46</v>
      </c>
      <c r="E15" s="27">
        <v>1993.81</v>
      </c>
      <c r="F15" s="28">
        <v>7918.16</v>
      </c>
      <c r="G15" s="28">
        <v>8820.02</v>
      </c>
      <c r="H15" s="28">
        <v>9660.48</v>
      </c>
      <c r="I15" s="27">
        <v>10435.32</v>
      </c>
      <c r="J15" s="28">
        <v>271840.58</v>
      </c>
      <c r="K15" s="28">
        <v>302616.49</v>
      </c>
      <c r="L15" s="28">
        <v>323347.99</v>
      </c>
      <c r="M15" s="28">
        <v>323347.99</v>
      </c>
      <c r="N15" s="28">
        <v>10812.0</v>
      </c>
      <c r="O15" s="28">
        <v>12091.47</v>
      </c>
      <c r="P15" s="29">
        <v>13105.19</v>
      </c>
      <c r="Q15" s="29">
        <v>15660.5</v>
      </c>
      <c r="R15" s="30">
        <v>6259.7</v>
      </c>
      <c r="S15" s="30">
        <v>6975.59</v>
      </c>
      <c r="T15" s="30">
        <v>7783.77</v>
      </c>
      <c r="U15" s="30">
        <v>8561.14</v>
      </c>
      <c r="V15" s="27">
        <v>21396.64</v>
      </c>
      <c r="W15" s="27">
        <v>23816.58</v>
      </c>
      <c r="X15" s="27">
        <v>26186.87</v>
      </c>
      <c r="Y15" s="27">
        <v>29409.51</v>
      </c>
      <c r="Z15" s="31">
        <f t="shared" ref="Z15:AC15" si="13">SUM(B15,F15,J15,N15,R15,V15)</f>
        <v>319775.89</v>
      </c>
      <c r="AA15" s="31">
        <f t="shared" si="13"/>
        <v>356061.36</v>
      </c>
      <c r="AB15" s="31">
        <f t="shared" si="13"/>
        <v>381957.76</v>
      </c>
      <c r="AC15" s="31">
        <f t="shared" si="13"/>
        <v>389408.27</v>
      </c>
      <c r="AD15" s="32"/>
    </row>
    <row r="16">
      <c r="A16" s="26" t="s">
        <v>23</v>
      </c>
      <c r="B16" s="27">
        <v>12932.98</v>
      </c>
      <c r="C16" s="27">
        <v>13511.26</v>
      </c>
      <c r="D16" s="27">
        <v>14551.51</v>
      </c>
      <c r="E16" s="27">
        <v>15291.5</v>
      </c>
      <c r="F16" s="28">
        <v>15227.22</v>
      </c>
      <c r="G16" s="28">
        <v>16117.88</v>
      </c>
      <c r="H16" s="28">
        <v>19202.51</v>
      </c>
      <c r="I16" s="27">
        <v>20352.61</v>
      </c>
      <c r="J16" s="28">
        <v>145730.06</v>
      </c>
      <c r="K16" s="28">
        <v>148081.92</v>
      </c>
      <c r="L16" s="28">
        <v>157015.91</v>
      </c>
      <c r="M16" s="28">
        <v>157015.91</v>
      </c>
      <c r="N16" s="28">
        <v>44535.07</v>
      </c>
      <c r="O16" s="28">
        <v>46278.92</v>
      </c>
      <c r="P16" s="29">
        <v>50520.49</v>
      </c>
      <c r="Q16" s="29">
        <v>52827.96</v>
      </c>
      <c r="R16" s="30">
        <v>37421.33</v>
      </c>
      <c r="S16" s="30">
        <v>39955.0</v>
      </c>
      <c r="T16" s="30">
        <v>43959.71</v>
      </c>
      <c r="U16" s="30">
        <v>45763.61</v>
      </c>
      <c r="V16" s="27">
        <v>58448.68</v>
      </c>
      <c r="W16" s="27">
        <v>60369.97</v>
      </c>
      <c r="X16" s="27">
        <v>68203.9</v>
      </c>
      <c r="Y16" s="27">
        <v>71165.83</v>
      </c>
      <c r="Z16" s="31">
        <f t="shared" ref="Z16:AC16" si="14">SUM(B16,F16,J16,N16,R16,V16)</f>
        <v>314295.34</v>
      </c>
      <c r="AA16" s="31">
        <f t="shared" si="14"/>
        <v>324314.95</v>
      </c>
      <c r="AB16" s="31">
        <f t="shared" si="14"/>
        <v>353454.03</v>
      </c>
      <c r="AC16" s="31">
        <f t="shared" si="14"/>
        <v>362417.42</v>
      </c>
      <c r="AD16" s="32"/>
    </row>
    <row r="17">
      <c r="A17" s="33" t="s">
        <v>24</v>
      </c>
      <c r="B17" s="27">
        <v>13913.75</v>
      </c>
      <c r="C17" s="27">
        <v>15212.77</v>
      </c>
      <c r="D17" s="27">
        <v>16027.4</v>
      </c>
      <c r="E17" s="27">
        <v>17051.0</v>
      </c>
      <c r="F17" s="28">
        <v>24581.06</v>
      </c>
      <c r="G17" s="28">
        <v>26680.99</v>
      </c>
      <c r="H17" s="28">
        <v>29453.36</v>
      </c>
      <c r="I17" s="27">
        <v>31944.14</v>
      </c>
      <c r="J17" s="28">
        <v>149353.37</v>
      </c>
      <c r="K17" s="28">
        <v>150213.28</v>
      </c>
      <c r="L17" s="28">
        <v>159541.97</v>
      </c>
      <c r="M17" s="28">
        <v>159541.97</v>
      </c>
      <c r="N17" s="28">
        <v>80336.14</v>
      </c>
      <c r="O17" s="28">
        <v>86301.84</v>
      </c>
      <c r="P17" s="29">
        <v>92230.1</v>
      </c>
      <c r="Q17" s="29">
        <v>99553.07</v>
      </c>
      <c r="R17" s="30">
        <v>65985.53</v>
      </c>
      <c r="S17" s="30">
        <v>70550.28</v>
      </c>
      <c r="T17" s="30">
        <v>77978.57</v>
      </c>
      <c r="U17" s="30">
        <v>84860.79</v>
      </c>
      <c r="V17" s="27">
        <v>67704.93</v>
      </c>
      <c r="W17" s="27">
        <v>72543.67</v>
      </c>
      <c r="X17" s="27">
        <v>77115.59</v>
      </c>
      <c r="Y17" s="27">
        <v>83169.6</v>
      </c>
      <c r="Z17" s="31">
        <f t="shared" ref="Z17:AC17" si="15">SUM(B17,F17,J17,N17,R17,V17)</f>
        <v>401874.78</v>
      </c>
      <c r="AA17" s="31">
        <f t="shared" si="15"/>
        <v>421502.83</v>
      </c>
      <c r="AB17" s="31">
        <f t="shared" si="15"/>
        <v>452346.99</v>
      </c>
      <c r="AC17" s="31">
        <f t="shared" si="15"/>
        <v>476120.57</v>
      </c>
      <c r="AD17" s="32"/>
    </row>
    <row r="18">
      <c r="A18" s="33" t="s">
        <v>25</v>
      </c>
      <c r="B18" s="27">
        <v>5131.07</v>
      </c>
      <c r="C18" s="27">
        <v>5789.17</v>
      </c>
      <c r="D18" s="27">
        <v>6253.69</v>
      </c>
      <c r="E18" s="27">
        <v>6789.31</v>
      </c>
      <c r="F18" s="28">
        <v>10687.98</v>
      </c>
      <c r="G18" s="28" t="s">
        <v>30</v>
      </c>
      <c r="H18" s="28">
        <v>13208.08</v>
      </c>
      <c r="I18" s="27">
        <v>13840.12</v>
      </c>
      <c r="J18" s="28">
        <v>70997.34</v>
      </c>
      <c r="K18" s="28">
        <v>76588.42</v>
      </c>
      <c r="L18" s="28">
        <v>82004.51</v>
      </c>
      <c r="M18" s="28">
        <v>82004.51</v>
      </c>
      <c r="N18" s="28">
        <v>19157.24</v>
      </c>
      <c r="O18" s="28">
        <v>20978.21</v>
      </c>
      <c r="P18" s="29">
        <v>22908.96</v>
      </c>
      <c r="Q18" s="29">
        <v>25573.7</v>
      </c>
      <c r="R18" s="30">
        <v>14372.31</v>
      </c>
      <c r="S18" s="30">
        <v>15533.75</v>
      </c>
      <c r="T18" s="30">
        <v>16932.97</v>
      </c>
      <c r="U18" s="30">
        <v>18109.07</v>
      </c>
      <c r="V18" s="27">
        <v>18875.47</v>
      </c>
      <c r="W18" s="27">
        <v>20154.16</v>
      </c>
      <c r="X18" s="27">
        <v>21473.36</v>
      </c>
      <c r="Y18" s="27">
        <v>23719.81</v>
      </c>
      <c r="Z18" s="31">
        <f t="shared" ref="Z18:AC18" si="16">SUM(B18,F18,J18,N18,R18,V18)</f>
        <v>139221.41</v>
      </c>
      <c r="AA18" s="31">
        <f t="shared" si="16"/>
        <v>139043.71</v>
      </c>
      <c r="AB18" s="31">
        <f t="shared" si="16"/>
        <v>162781.57</v>
      </c>
      <c r="AC18" s="31">
        <f t="shared" si="16"/>
        <v>170036.52</v>
      </c>
      <c r="AD18" s="32"/>
    </row>
    <row r="19">
      <c r="A19" s="33" t="s">
        <v>26</v>
      </c>
      <c r="B19" s="27">
        <v>4721.76</v>
      </c>
      <c r="C19" s="27">
        <v>5293.81</v>
      </c>
      <c r="D19" s="27">
        <v>5548.53</v>
      </c>
      <c r="E19" s="27">
        <v>6186.01</v>
      </c>
      <c r="F19" s="28">
        <v>12163.45</v>
      </c>
      <c r="G19" s="28">
        <v>13971.78</v>
      </c>
      <c r="H19" s="28">
        <v>14903.65</v>
      </c>
      <c r="I19" s="27">
        <v>16027.73</v>
      </c>
      <c r="J19" s="28">
        <v>128238.43</v>
      </c>
      <c r="K19" s="28">
        <v>149693.7</v>
      </c>
      <c r="L19" s="28">
        <v>159695.26</v>
      </c>
      <c r="M19" s="28">
        <v>159695.26</v>
      </c>
      <c r="N19" s="28">
        <v>52154.05</v>
      </c>
      <c r="O19" s="28">
        <v>58490.22</v>
      </c>
      <c r="P19" s="29">
        <v>66839.94</v>
      </c>
      <c r="Q19" s="29">
        <v>79766.91</v>
      </c>
      <c r="R19" s="30">
        <v>24413.4</v>
      </c>
      <c r="S19" s="30">
        <v>27022.68</v>
      </c>
      <c r="T19" s="30">
        <v>29586.58</v>
      </c>
      <c r="U19" s="30">
        <v>32949.35</v>
      </c>
      <c r="V19" s="27">
        <v>35552.39</v>
      </c>
      <c r="W19" s="27">
        <v>40663.65</v>
      </c>
      <c r="X19" s="27">
        <v>45132.22</v>
      </c>
      <c r="Y19" s="27" t="s">
        <v>31</v>
      </c>
      <c r="Z19" s="31">
        <f t="shared" ref="Z19:AC19" si="17">SUM(B19,F19,J19,N19,R19,V19)</f>
        <v>257243.48</v>
      </c>
      <c r="AA19" s="31">
        <f t="shared" si="17"/>
        <v>295135.84</v>
      </c>
      <c r="AB19" s="31">
        <f t="shared" si="17"/>
        <v>321706.18</v>
      </c>
      <c r="AC19" s="31">
        <f t="shared" si="17"/>
        <v>294625.26</v>
      </c>
      <c r="AD19" s="32"/>
    </row>
    <row r="20">
      <c r="A20" s="35" t="s">
        <v>27</v>
      </c>
      <c r="B20" s="31">
        <f t="shared" ref="B20:Y20" si="18">sum(B3:B19)</f>
        <v>165724.52</v>
      </c>
      <c r="C20" s="31">
        <f t="shared" si="18"/>
        <v>180746.4</v>
      </c>
      <c r="D20" s="31">
        <f t="shared" si="18"/>
        <v>193561.95</v>
      </c>
      <c r="E20" s="31">
        <f t="shared" si="18"/>
        <v>208133.81</v>
      </c>
      <c r="F20" s="31">
        <f t="shared" si="18"/>
        <v>747223.58</v>
      </c>
      <c r="G20" s="31">
        <f t="shared" si="18"/>
        <v>802282.49</v>
      </c>
      <c r="H20" s="31">
        <f t="shared" si="18"/>
        <v>873626.26</v>
      </c>
      <c r="I20" s="31">
        <f t="shared" si="18"/>
        <v>936203.97</v>
      </c>
      <c r="J20" s="31">
        <f t="shared" si="18"/>
        <v>3188541.24</v>
      </c>
      <c r="K20" s="31">
        <f t="shared" si="18"/>
        <v>3443359.21</v>
      </c>
      <c r="L20" s="31">
        <f t="shared" si="18"/>
        <v>3679708.73</v>
      </c>
      <c r="M20" s="31">
        <f t="shared" si="18"/>
        <v>3679708.73</v>
      </c>
      <c r="N20" s="31">
        <f t="shared" si="18"/>
        <v>2422782.32</v>
      </c>
      <c r="O20" s="31">
        <f t="shared" si="18"/>
        <v>2625218.59</v>
      </c>
      <c r="P20" s="31">
        <f t="shared" si="18"/>
        <v>2823338.73</v>
      </c>
      <c r="Q20" s="31">
        <f t="shared" si="18"/>
        <v>3038668.11</v>
      </c>
      <c r="R20" s="31">
        <f t="shared" si="18"/>
        <v>1559140.35</v>
      </c>
      <c r="S20" s="31">
        <f t="shared" si="18"/>
        <v>1695427.92</v>
      </c>
      <c r="T20" s="31">
        <f t="shared" si="18"/>
        <v>1817710.81</v>
      </c>
      <c r="U20" s="31">
        <f t="shared" si="18"/>
        <v>1943187.64</v>
      </c>
      <c r="V20" s="31">
        <f t="shared" si="18"/>
        <v>2731423.65</v>
      </c>
      <c r="W20" s="31">
        <f t="shared" si="18"/>
        <v>2953546.99</v>
      </c>
      <c r="X20" s="31">
        <f t="shared" si="18"/>
        <v>3168295.57</v>
      </c>
      <c r="Y20" s="31">
        <f t="shared" si="18"/>
        <v>3352066.9</v>
      </c>
      <c r="Z20" s="31">
        <f>SUM(B20,F20,J20,N20,R20,V20)</f>
        <v>10814835.66</v>
      </c>
      <c r="AA20" s="31">
        <f t="shared" ref="AA20:AC20" si="19">sum(AA3:AA19)</f>
        <v>11700581.6</v>
      </c>
      <c r="AB20" s="31">
        <f t="shared" si="19"/>
        <v>12556242.05</v>
      </c>
      <c r="AC20" s="31">
        <f t="shared" si="19"/>
        <v>13157969.16</v>
      </c>
      <c r="AD20" s="32"/>
    </row>
    <row r="21">
      <c r="A21" s="36"/>
      <c r="B21" s="37"/>
      <c r="C21" s="37"/>
      <c r="D21" s="37"/>
      <c r="E21" s="37"/>
      <c r="F21" s="37"/>
      <c r="G21" s="37"/>
      <c r="H21" s="37"/>
      <c r="I21" s="37"/>
      <c r="J21" s="32"/>
      <c r="K21" s="32"/>
      <c r="L21" s="32"/>
      <c r="M21" s="32"/>
      <c r="N21" s="32"/>
      <c r="O21" s="32"/>
      <c r="P21" s="32"/>
      <c r="Q21" s="32"/>
      <c r="R21" s="38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</row>
    <row r="24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</row>
    <row r="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</row>
    <row r="26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</row>
    <row r="28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</row>
    <row r="29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</row>
    <row r="30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</row>
    <row r="31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</row>
    <row r="32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</row>
    <row r="33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</row>
    <row r="34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</row>
    <row r="37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</row>
    <row r="38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</row>
    <row r="39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</row>
    <row r="40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</row>
    <row r="41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</row>
    <row r="42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</row>
    <row r="43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</row>
    <row r="46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</row>
    <row r="47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</row>
    <row r="48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</row>
    <row r="49">
      <c r="A49" s="36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</row>
    <row r="50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</row>
    <row r="51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</row>
    <row r="52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>
      <c r="A56" s="3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>
      <c r="A57" s="36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>
      <c r="A65" s="36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A66" s="36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</row>
    <row r="68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</row>
    <row r="69">
      <c r="A69" s="36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36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A72" s="36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</row>
    <row r="73">
      <c r="A73" s="36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</row>
    <row r="74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</row>
    <row r="75">
      <c r="A75" s="36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</row>
    <row r="76">
      <c r="A76" s="3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</row>
    <row r="77">
      <c r="A77" s="36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</row>
    <row r="78">
      <c r="A78" s="36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</row>
    <row r="79">
      <c r="A79" s="36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</row>
    <row r="80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</row>
    <row r="81">
      <c r="A81" s="36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</row>
    <row r="82">
      <c r="A82" s="36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</row>
    <row r="83">
      <c r="A83" s="36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</row>
    <row r="84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</row>
    <row r="85">
      <c r="A85" s="36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</row>
    <row r="86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</row>
    <row r="87">
      <c r="A87" s="36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</row>
    <row r="88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</row>
    <row r="89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</row>
    <row r="90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</row>
    <row r="91">
      <c r="A91" s="36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</row>
    <row r="92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</row>
    <row r="93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</row>
    <row r="94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</row>
    <row r="95">
      <c r="A95" s="36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</row>
    <row r="96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</row>
    <row r="97">
      <c r="A97" s="36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</row>
    <row r="98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</row>
    <row r="99">
      <c r="A99" s="36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</row>
    <row r="100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</row>
    <row r="10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</row>
    <row r="102">
      <c r="A102" s="36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</row>
    <row r="103">
      <c r="A103" s="36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</row>
    <row r="104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</row>
    <row r="105">
      <c r="A105" s="36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</row>
    <row r="106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</row>
    <row r="107">
      <c r="A107" s="36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</row>
    <row r="108">
      <c r="A108" s="36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</row>
    <row r="109">
      <c r="A109" s="36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</row>
    <row r="110">
      <c r="A110" s="36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</row>
    <row r="111">
      <c r="A111" s="36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</row>
    <row r="112">
      <c r="A112" s="36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</row>
    <row r="113">
      <c r="A113" s="36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>
      <c r="A114" s="3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>
      <c r="A115" s="36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>
      <c r="A116" s="3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>
      <c r="A117" s="36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>
      <c r="A118" s="36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>
      <c r="A119" s="36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6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6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6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6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6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6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6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6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6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6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6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6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6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6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6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6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6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6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6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6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6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6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6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6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6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6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6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6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6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6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6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6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6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6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6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6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6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6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6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6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6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6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6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6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6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6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6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6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6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6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6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6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6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6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6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6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6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6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6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6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6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6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6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6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6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6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6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6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6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6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6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6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6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6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6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6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6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6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6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6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6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6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6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6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6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6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6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6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6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6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6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6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6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6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6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6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6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6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6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6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6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6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6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6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6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6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6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6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6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6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6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6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6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6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6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6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6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6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6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6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6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6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6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6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6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6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6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6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6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6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6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6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6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6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6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6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6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6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6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6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6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6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6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6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6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6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6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6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6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6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6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6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6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6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6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6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6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6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6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6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6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6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6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6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6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6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6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6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6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6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6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6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6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6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6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6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6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6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6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6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6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6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6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6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6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6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6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6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6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6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6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6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6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6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6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6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6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6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6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6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6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6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6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6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6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6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6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6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6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6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6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6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6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6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6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6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6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6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6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6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6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6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6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6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6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6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6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6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6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6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6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6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6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6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6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6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6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6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6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6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6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6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6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6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6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6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6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6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6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6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6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6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6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6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6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6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6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6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6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6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6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6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6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6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6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6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6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6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6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6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6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6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6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6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6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6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6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6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6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6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6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6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6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6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6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6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6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6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6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6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6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6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6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6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6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6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6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6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6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6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6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6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6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6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6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6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6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6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6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6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6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6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6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6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6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6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6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6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6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6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6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6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6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6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6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6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6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6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6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6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6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6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6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6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6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6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6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6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6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6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6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6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6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6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6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6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6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6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6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6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6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6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6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6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6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6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6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6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6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6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6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6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6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6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6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6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6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6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6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6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6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6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6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6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6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6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6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6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6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6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6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6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6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6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6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6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6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6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6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6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6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6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6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6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6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6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6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6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6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6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6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6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6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6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6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6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6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6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6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6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6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6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6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6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6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6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6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6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6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6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6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6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6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6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6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6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6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6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6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6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6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6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6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6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6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6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6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6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6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6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6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6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6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6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6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6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6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6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6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6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6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6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6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6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6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6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6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6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6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6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6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6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6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6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6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6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6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6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6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6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6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6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6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6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6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6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6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6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6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6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6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6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6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6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6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6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6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6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6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6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6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6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6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6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6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6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6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6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6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6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6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6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6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6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6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6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6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6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6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6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6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6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6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6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6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6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6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6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6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6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6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6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6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6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6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6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6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6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6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6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6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6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6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6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6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6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6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6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6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6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6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6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6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6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6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6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6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6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6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6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6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6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6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6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6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6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6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6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6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6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6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6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6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6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6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6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6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6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6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6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6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6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6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6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6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6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6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6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6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6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6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6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6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6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6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6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6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6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6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6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6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6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6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6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6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6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6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6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6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6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6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6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6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6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6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6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6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6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6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6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6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6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6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6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6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6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6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6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6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6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6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6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6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6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6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6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6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6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6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6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6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6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6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6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6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6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6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6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6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6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6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6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6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6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6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6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6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6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6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6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6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6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6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6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6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6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6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6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6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6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6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6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6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6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6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6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6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6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6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6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6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6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6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6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6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6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6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6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6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6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6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6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6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6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6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6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6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6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6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6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6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6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6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6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6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6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6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6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6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6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6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6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6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6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6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6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6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6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6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6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6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6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6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6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6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6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6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6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6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6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6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6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6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6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6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6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6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6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6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6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6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6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6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6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6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6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6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6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6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6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6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6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6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6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6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6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6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6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6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6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6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6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6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6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6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6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6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6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6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6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6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6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6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6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6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6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6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6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6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6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6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6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6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6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6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6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6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6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6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6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6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6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6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6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6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6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6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6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6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6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6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6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6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6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6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6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6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6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6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6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6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6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6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6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6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6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6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6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6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6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6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6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6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6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6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6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6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6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6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6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6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6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6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6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6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6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6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6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6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6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6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6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6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6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6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6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  <row r="994">
      <c r="A994" s="36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</row>
  </sheetData>
  <mergeCells count="8">
    <mergeCell ref="A1:A2"/>
    <mergeCell ref="B1:E1"/>
    <mergeCell ref="F1:I1"/>
    <mergeCell ref="J1:M1"/>
    <mergeCell ref="N1:Q1"/>
    <mergeCell ref="R1:U1"/>
    <mergeCell ref="V1:Y1"/>
    <mergeCell ref="Z1:AC1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5"/>
    <col customWidth="1" min="2" max="2" width="60.5"/>
    <col customWidth="1" min="3" max="3" width="12.38"/>
    <col customWidth="1" min="15" max="15" width="16.13"/>
    <col customWidth="1" min="16" max="16" width="15.25"/>
  </cols>
  <sheetData>
    <row r="1">
      <c r="A1" s="39"/>
      <c r="B1" s="40" t="s">
        <v>0</v>
      </c>
      <c r="C1" s="41" t="s">
        <v>1</v>
      </c>
      <c r="D1" s="3"/>
      <c r="E1" s="3"/>
      <c r="F1" s="4"/>
      <c r="G1" s="42" t="s">
        <v>2</v>
      </c>
      <c r="H1" s="3"/>
      <c r="I1" s="3"/>
      <c r="J1" s="4"/>
      <c r="K1" s="42" t="s">
        <v>3</v>
      </c>
      <c r="L1" s="3"/>
      <c r="M1" s="3"/>
      <c r="N1" s="4"/>
      <c r="O1" s="42" t="s">
        <v>4</v>
      </c>
      <c r="P1" s="3"/>
      <c r="Q1" s="3"/>
      <c r="R1" s="4"/>
      <c r="S1" s="42" t="s">
        <v>5</v>
      </c>
      <c r="T1" s="3"/>
      <c r="U1" s="3"/>
      <c r="V1" s="4"/>
      <c r="W1" s="42" t="s">
        <v>6</v>
      </c>
      <c r="X1" s="3"/>
      <c r="Y1" s="3"/>
      <c r="Z1" s="4"/>
      <c r="AA1" s="42" t="s">
        <v>7</v>
      </c>
      <c r="AB1" s="3"/>
      <c r="AC1" s="3"/>
      <c r="AD1" s="4"/>
      <c r="AE1" s="43"/>
    </row>
    <row r="2">
      <c r="A2" s="39"/>
      <c r="B2" s="7"/>
      <c r="C2" s="44">
        <v>2022.0</v>
      </c>
      <c r="D2" s="44">
        <v>2023.0</v>
      </c>
      <c r="E2" s="44">
        <v>2024.0</v>
      </c>
      <c r="F2" s="44">
        <v>2025.0</v>
      </c>
      <c r="G2" s="44">
        <v>2022.0</v>
      </c>
      <c r="H2" s="44">
        <v>2023.0</v>
      </c>
      <c r="I2" s="44">
        <v>2024.0</v>
      </c>
      <c r="J2" s="44">
        <v>2025.0</v>
      </c>
      <c r="K2" s="44">
        <v>2022.0</v>
      </c>
      <c r="L2" s="44">
        <v>2023.0</v>
      </c>
      <c r="M2" s="44">
        <v>2024.0</v>
      </c>
      <c r="N2" s="44" t="s">
        <v>8</v>
      </c>
      <c r="O2" s="44">
        <v>2022.0</v>
      </c>
      <c r="P2" s="45">
        <v>2023.0</v>
      </c>
      <c r="Q2" s="44">
        <v>2024.0</v>
      </c>
      <c r="R2" s="44" t="s">
        <v>9</v>
      </c>
      <c r="S2" s="44">
        <v>2022.0</v>
      </c>
      <c r="T2" s="44">
        <v>2023.0</v>
      </c>
      <c r="U2" s="44">
        <v>2024.0</v>
      </c>
      <c r="V2" s="44">
        <v>2025.0</v>
      </c>
      <c r="W2" s="44">
        <v>2022.0</v>
      </c>
      <c r="X2" s="44">
        <v>2023.0</v>
      </c>
      <c r="Y2" s="44">
        <v>2024.0</v>
      </c>
      <c r="Z2" s="44">
        <v>2025.0</v>
      </c>
      <c r="AA2" s="44">
        <v>2022.0</v>
      </c>
      <c r="AB2" s="44">
        <v>2023.0</v>
      </c>
      <c r="AC2" s="44">
        <v>2024.0</v>
      </c>
      <c r="AD2" s="44">
        <v>2025.0</v>
      </c>
      <c r="AE2" s="43"/>
    </row>
    <row r="3">
      <c r="A3" s="46"/>
      <c r="B3" s="47" t="s">
        <v>10</v>
      </c>
      <c r="C3" s="48">
        <v>9077.78</v>
      </c>
      <c r="D3" s="48">
        <v>9194.04</v>
      </c>
      <c r="E3" s="48">
        <v>9206.49</v>
      </c>
      <c r="F3" s="48">
        <v>9791.83</v>
      </c>
      <c r="G3" s="48">
        <v>26485.81</v>
      </c>
      <c r="H3" s="48">
        <v>26532.32</v>
      </c>
      <c r="I3" s="48">
        <v>26703.4</v>
      </c>
      <c r="J3" s="49">
        <v>29266.23</v>
      </c>
      <c r="K3" s="50">
        <v>1501.26</v>
      </c>
      <c r="L3" s="50">
        <v>1442.05</v>
      </c>
      <c r="M3" s="50">
        <v>1516.6</v>
      </c>
      <c r="N3" s="51">
        <v>1561.67</v>
      </c>
      <c r="O3" s="48">
        <v>113186.4</v>
      </c>
      <c r="P3" s="52">
        <v>113308.53</v>
      </c>
      <c r="Q3" s="53">
        <v>115104.77</v>
      </c>
      <c r="R3" s="54">
        <v>126696.5</v>
      </c>
      <c r="S3" s="48">
        <v>130762.52</v>
      </c>
      <c r="T3" s="48">
        <v>131330.54</v>
      </c>
      <c r="U3" s="48">
        <v>133162.54</v>
      </c>
      <c r="V3" s="48">
        <v>139530.4</v>
      </c>
      <c r="W3" s="48">
        <v>173747.56</v>
      </c>
      <c r="X3" s="48">
        <v>177668.37</v>
      </c>
      <c r="Y3" s="48">
        <v>177809.48</v>
      </c>
      <c r="Z3" s="48">
        <v>186662.71</v>
      </c>
      <c r="AA3" s="55">
        <f t="shared" ref="AA3:AD3" si="1">C3+G3+K3+O3+S3+W3</f>
        <v>454761.33</v>
      </c>
      <c r="AB3" s="55">
        <f t="shared" si="1"/>
        <v>459475.85</v>
      </c>
      <c r="AC3" s="55">
        <f t="shared" si="1"/>
        <v>463503.28</v>
      </c>
      <c r="AD3" s="55">
        <f t="shared" si="1"/>
        <v>493509.34</v>
      </c>
      <c r="AE3" s="56"/>
    </row>
    <row r="4">
      <c r="A4" s="57"/>
      <c r="B4" s="58" t="s">
        <v>11</v>
      </c>
      <c r="C4" s="48">
        <v>501.03</v>
      </c>
      <c r="D4" s="48">
        <v>517.33</v>
      </c>
      <c r="E4" s="48">
        <v>557.4</v>
      </c>
      <c r="F4" s="48">
        <v>591.97</v>
      </c>
      <c r="G4" s="48">
        <v>2208.48</v>
      </c>
      <c r="H4" s="48">
        <v>1844.63</v>
      </c>
      <c r="I4" s="48">
        <v>1713.75</v>
      </c>
      <c r="J4" s="49">
        <v>1728.33</v>
      </c>
      <c r="K4" s="50">
        <v>2400.31</v>
      </c>
      <c r="L4" s="50">
        <v>2094.15</v>
      </c>
      <c r="M4" s="50">
        <v>1983.75</v>
      </c>
      <c r="N4" s="51">
        <v>1830.18</v>
      </c>
      <c r="O4" s="48">
        <v>23880.32</v>
      </c>
      <c r="P4" s="52">
        <v>23857.09</v>
      </c>
      <c r="Q4" s="53">
        <v>23842.6</v>
      </c>
      <c r="R4" s="54">
        <v>23723.09</v>
      </c>
      <c r="S4" s="48">
        <v>20942.66</v>
      </c>
      <c r="T4" s="48">
        <v>21232.09</v>
      </c>
      <c r="U4" s="48">
        <v>21833.06</v>
      </c>
      <c r="V4" s="48">
        <v>22315.21</v>
      </c>
      <c r="W4" s="48">
        <v>71865.2</v>
      </c>
      <c r="X4" s="48">
        <v>73057.78</v>
      </c>
      <c r="Y4" s="48">
        <v>72582.57</v>
      </c>
      <c r="Z4" s="48">
        <v>73673.07</v>
      </c>
      <c r="AA4" s="55">
        <f t="shared" ref="AA4:AD4" si="2">C4+G4+K4+O4+S4+W4</f>
        <v>121798</v>
      </c>
      <c r="AB4" s="55">
        <f t="shared" si="2"/>
        <v>122603.07</v>
      </c>
      <c r="AC4" s="55">
        <f t="shared" si="2"/>
        <v>122513.13</v>
      </c>
      <c r="AD4" s="55">
        <f t="shared" si="2"/>
        <v>123861.85</v>
      </c>
      <c r="AE4" s="56"/>
    </row>
    <row r="5">
      <c r="A5" s="57"/>
      <c r="B5" s="58" t="s">
        <v>12</v>
      </c>
      <c r="C5" s="48">
        <v>12890.39</v>
      </c>
      <c r="D5" s="48">
        <v>13441.25</v>
      </c>
      <c r="E5" s="48">
        <v>13950.28</v>
      </c>
      <c r="F5" s="48">
        <v>14559.81</v>
      </c>
      <c r="G5" s="48">
        <v>160616.13</v>
      </c>
      <c r="H5" s="48">
        <v>169934.05</v>
      </c>
      <c r="I5" s="48">
        <v>178397.5</v>
      </c>
      <c r="J5" s="49">
        <v>187979.82</v>
      </c>
      <c r="K5" s="50">
        <v>228741.59</v>
      </c>
      <c r="L5" s="50">
        <v>232991.97</v>
      </c>
      <c r="M5" s="50">
        <v>235646.0</v>
      </c>
      <c r="N5" s="51">
        <v>239531.41</v>
      </c>
      <c r="O5" s="48">
        <v>683420.22</v>
      </c>
      <c r="P5" s="52">
        <v>715806.62</v>
      </c>
      <c r="Q5" s="53">
        <v>741041.45</v>
      </c>
      <c r="R5" s="54">
        <v>762103.15</v>
      </c>
      <c r="S5" s="48">
        <v>346169.65</v>
      </c>
      <c r="T5" s="48">
        <v>361111.03</v>
      </c>
      <c r="U5" s="48">
        <v>373837.72</v>
      </c>
      <c r="V5" s="48">
        <v>389026.51</v>
      </c>
      <c r="W5" s="48">
        <v>536394.03</v>
      </c>
      <c r="X5" s="48">
        <v>558448.65</v>
      </c>
      <c r="Y5" s="48">
        <v>588598.82</v>
      </c>
      <c r="Z5" s="48">
        <v>623803.37</v>
      </c>
      <c r="AA5" s="55">
        <f t="shared" ref="AA5:AD5" si="3">C5+G5+K5+O5+S5+W5</f>
        <v>1968232.01</v>
      </c>
      <c r="AB5" s="55">
        <f t="shared" si="3"/>
        <v>2051733.57</v>
      </c>
      <c r="AC5" s="55">
        <f t="shared" si="3"/>
        <v>2131471.77</v>
      </c>
      <c r="AD5" s="55">
        <f t="shared" si="3"/>
        <v>2217004.07</v>
      </c>
      <c r="AE5" s="56"/>
    </row>
    <row r="6">
      <c r="A6" s="57"/>
      <c r="B6" s="58" t="s">
        <v>13</v>
      </c>
      <c r="C6" s="48">
        <v>178.22</v>
      </c>
      <c r="D6" s="48">
        <v>191.26</v>
      </c>
      <c r="E6" s="48">
        <v>211.67</v>
      </c>
      <c r="F6" s="48">
        <v>221.32</v>
      </c>
      <c r="G6" s="48">
        <v>4639.58</v>
      </c>
      <c r="H6" s="48">
        <v>4571.07</v>
      </c>
      <c r="I6" s="48">
        <v>4156.25</v>
      </c>
      <c r="J6" s="49">
        <v>4248.46</v>
      </c>
      <c r="K6" s="50">
        <v>4261.4</v>
      </c>
      <c r="L6" s="50">
        <v>3961.69</v>
      </c>
      <c r="M6" s="50">
        <v>3315.23</v>
      </c>
      <c r="N6" s="51">
        <v>2901.2</v>
      </c>
      <c r="O6" s="48">
        <v>5843.37</v>
      </c>
      <c r="P6" s="52">
        <v>5854.08</v>
      </c>
      <c r="Q6" s="53">
        <v>5818.98</v>
      </c>
      <c r="R6" s="54">
        <v>5916.01</v>
      </c>
      <c r="S6" s="48">
        <v>1214.86</v>
      </c>
      <c r="T6" s="48">
        <v>1297.42</v>
      </c>
      <c r="U6" s="48">
        <v>1387.68</v>
      </c>
      <c r="V6" s="48">
        <v>1448.95</v>
      </c>
      <c r="W6" s="48">
        <v>5065.01</v>
      </c>
      <c r="X6" s="48">
        <v>6282.63</v>
      </c>
      <c r="Y6" s="48">
        <v>6717.94</v>
      </c>
      <c r="Z6" s="48">
        <v>7060.88</v>
      </c>
      <c r="AA6" s="55">
        <f t="shared" ref="AA6:AD6" si="4">C6+G6+K6+O6+S6+W6</f>
        <v>21202.44</v>
      </c>
      <c r="AB6" s="55">
        <f t="shared" si="4"/>
        <v>22158.15</v>
      </c>
      <c r="AC6" s="55">
        <f t="shared" si="4"/>
        <v>21607.75</v>
      </c>
      <c r="AD6" s="55">
        <f t="shared" si="4"/>
        <v>21796.82</v>
      </c>
      <c r="AE6" s="56"/>
    </row>
    <row r="7">
      <c r="A7" s="46"/>
      <c r="B7" s="47" t="s">
        <v>14</v>
      </c>
      <c r="C7" s="48">
        <v>114.64</v>
      </c>
      <c r="D7" s="48">
        <v>118.57</v>
      </c>
      <c r="E7" s="48">
        <v>119.62</v>
      </c>
      <c r="F7" s="48">
        <v>118.96</v>
      </c>
      <c r="G7" s="48">
        <v>512.65</v>
      </c>
      <c r="H7" s="48">
        <v>540.27</v>
      </c>
      <c r="I7" s="48">
        <v>561.21</v>
      </c>
      <c r="J7" s="49">
        <v>585.9</v>
      </c>
      <c r="K7" s="50">
        <v>777.42</v>
      </c>
      <c r="L7" s="50">
        <v>826.6</v>
      </c>
      <c r="M7" s="50">
        <v>830.59</v>
      </c>
      <c r="N7" s="51">
        <v>800.67</v>
      </c>
      <c r="O7" s="48">
        <v>1456.85</v>
      </c>
      <c r="P7" s="52">
        <v>1495.07</v>
      </c>
      <c r="Q7" s="53">
        <v>1577.05</v>
      </c>
      <c r="R7" s="54">
        <v>1618.71</v>
      </c>
      <c r="S7" s="48">
        <v>752.41</v>
      </c>
      <c r="T7" s="48">
        <v>783.02</v>
      </c>
      <c r="U7" s="48">
        <v>800.9</v>
      </c>
      <c r="V7" s="48">
        <v>811.85</v>
      </c>
      <c r="W7" s="48">
        <v>1800.78</v>
      </c>
      <c r="X7" s="48">
        <v>1853.34</v>
      </c>
      <c r="Y7" s="48">
        <v>1894.78</v>
      </c>
      <c r="Z7" s="48">
        <v>1962.12</v>
      </c>
      <c r="AA7" s="55">
        <f t="shared" ref="AA7:AD7" si="5">C7+G7+K7+O7+S7+W7</f>
        <v>5414.75</v>
      </c>
      <c r="AB7" s="55">
        <f t="shared" si="5"/>
        <v>5616.87</v>
      </c>
      <c r="AC7" s="55">
        <f t="shared" si="5"/>
        <v>5784.15</v>
      </c>
      <c r="AD7" s="55">
        <f t="shared" si="5"/>
        <v>5898.21</v>
      </c>
      <c r="AE7" s="56"/>
    </row>
    <row r="8">
      <c r="A8" s="57"/>
      <c r="B8" s="58" t="s">
        <v>15</v>
      </c>
      <c r="C8" s="48">
        <v>11193.38</v>
      </c>
      <c r="D8" s="48">
        <v>11732.07</v>
      </c>
      <c r="E8" s="48">
        <v>12713.05</v>
      </c>
      <c r="F8" s="48">
        <v>13717.54</v>
      </c>
      <c r="G8" s="48">
        <v>51944.23</v>
      </c>
      <c r="H8" s="48">
        <v>52700.7</v>
      </c>
      <c r="I8" s="48">
        <v>55803.68</v>
      </c>
      <c r="J8" s="49">
        <v>59089.91</v>
      </c>
      <c r="K8" s="50">
        <v>211217.76</v>
      </c>
      <c r="L8" s="50">
        <v>216505.24</v>
      </c>
      <c r="M8" s="50">
        <v>231632.64</v>
      </c>
      <c r="N8" s="51">
        <v>238914.21</v>
      </c>
      <c r="O8" s="48">
        <v>126184.39</v>
      </c>
      <c r="P8" s="52">
        <v>133549.61</v>
      </c>
      <c r="Q8" s="53">
        <v>143014.89</v>
      </c>
      <c r="R8" s="54">
        <v>150684.6</v>
      </c>
      <c r="S8" s="48">
        <v>108657.61</v>
      </c>
      <c r="T8" s="48">
        <v>115250.87</v>
      </c>
      <c r="U8" s="48">
        <v>124441.81</v>
      </c>
      <c r="V8" s="48">
        <v>132673.93</v>
      </c>
      <c r="W8" s="48">
        <v>162018.82</v>
      </c>
      <c r="X8" s="48">
        <v>170190.58</v>
      </c>
      <c r="Y8" s="48">
        <v>181960.11</v>
      </c>
      <c r="Z8" s="48">
        <v>190304.86</v>
      </c>
      <c r="AA8" s="55">
        <f t="shared" ref="AA8:AD8" si="6">C8+G8+K8+O8+S8+W8</f>
        <v>671216.19</v>
      </c>
      <c r="AB8" s="55">
        <f t="shared" si="6"/>
        <v>699929.07</v>
      </c>
      <c r="AC8" s="55">
        <f t="shared" si="6"/>
        <v>749566.18</v>
      </c>
      <c r="AD8" s="55">
        <f t="shared" si="6"/>
        <v>785385.05</v>
      </c>
      <c r="AE8" s="56"/>
    </row>
    <row r="9">
      <c r="A9" s="57"/>
      <c r="B9" s="58" t="s">
        <v>16</v>
      </c>
      <c r="C9" s="48">
        <v>8779.73</v>
      </c>
      <c r="D9" s="48">
        <v>9159.47</v>
      </c>
      <c r="E9" s="48">
        <v>9521.98</v>
      </c>
      <c r="F9" s="48">
        <v>10024.25</v>
      </c>
      <c r="G9" s="48">
        <v>64030.67</v>
      </c>
      <c r="H9" s="48">
        <v>66574.78</v>
      </c>
      <c r="I9" s="48">
        <v>69454.87</v>
      </c>
      <c r="J9" s="49">
        <v>72655.41</v>
      </c>
      <c r="K9" s="50">
        <v>307754.12</v>
      </c>
      <c r="L9" s="50">
        <v>321661.05</v>
      </c>
      <c r="M9" s="50">
        <v>343770.7</v>
      </c>
      <c r="N9" s="51">
        <v>362681.18</v>
      </c>
      <c r="O9" s="48">
        <v>230532.56</v>
      </c>
      <c r="P9" s="52">
        <v>240583.84</v>
      </c>
      <c r="Q9" s="53">
        <v>252244.61</v>
      </c>
      <c r="R9" s="54">
        <v>264862.53</v>
      </c>
      <c r="S9" s="48">
        <v>153670.44</v>
      </c>
      <c r="T9" s="48">
        <v>161240.41</v>
      </c>
      <c r="U9" s="48">
        <v>167931.17</v>
      </c>
      <c r="V9" s="48">
        <v>175700.39</v>
      </c>
      <c r="W9" s="48">
        <v>333626.69</v>
      </c>
      <c r="X9" s="48">
        <v>352837.67</v>
      </c>
      <c r="Y9" s="48">
        <v>368875.69</v>
      </c>
      <c r="Z9" s="48">
        <v>383580.62</v>
      </c>
      <c r="AA9" s="55">
        <f t="shared" ref="AA9:AD9" si="7">C9+G9+K9+O9+S9+W9</f>
        <v>1098394.21</v>
      </c>
      <c r="AB9" s="55">
        <f t="shared" si="7"/>
        <v>1152057.22</v>
      </c>
      <c r="AC9" s="55">
        <f t="shared" si="7"/>
        <v>1211799.02</v>
      </c>
      <c r="AD9" s="55">
        <f t="shared" si="7"/>
        <v>1269504.38</v>
      </c>
      <c r="AE9" s="56"/>
    </row>
    <row r="10">
      <c r="A10" s="57"/>
      <c r="B10" s="58" t="s">
        <v>17</v>
      </c>
      <c r="C10" s="48">
        <v>5287.74</v>
      </c>
      <c r="D10" s="48">
        <v>5822.82</v>
      </c>
      <c r="E10" s="48">
        <v>6186.17</v>
      </c>
      <c r="F10" s="48">
        <v>6530.34</v>
      </c>
      <c r="G10" s="48">
        <v>27947.76</v>
      </c>
      <c r="H10" s="48">
        <v>31433.2</v>
      </c>
      <c r="I10" s="48">
        <v>33428.91</v>
      </c>
      <c r="J10" s="49">
        <v>34833.14</v>
      </c>
      <c r="K10" s="50">
        <v>74214.76</v>
      </c>
      <c r="L10" s="50">
        <v>84642.25</v>
      </c>
      <c r="M10" s="50">
        <v>90533.4</v>
      </c>
      <c r="N10" s="51">
        <v>98400.67</v>
      </c>
      <c r="O10" s="48">
        <v>75521.57</v>
      </c>
      <c r="P10" s="52">
        <v>83777.21</v>
      </c>
      <c r="Q10" s="53">
        <v>94113.89</v>
      </c>
      <c r="R10" s="54">
        <v>104938.19</v>
      </c>
      <c r="S10" s="48">
        <v>42103.03</v>
      </c>
      <c r="T10" s="48">
        <v>45523.39</v>
      </c>
      <c r="U10" s="48">
        <v>48052.76</v>
      </c>
      <c r="V10" s="48">
        <v>51285.06</v>
      </c>
      <c r="W10" s="48">
        <v>53240.33</v>
      </c>
      <c r="X10" s="48">
        <v>60314.16</v>
      </c>
      <c r="Y10" s="48">
        <v>66044.82</v>
      </c>
      <c r="Z10" s="48">
        <v>70889.1</v>
      </c>
      <c r="AA10" s="55">
        <f t="shared" ref="AA10:AD10" si="8">C10+G10+K10+O10+S10+W10</f>
        <v>278315.19</v>
      </c>
      <c r="AB10" s="55">
        <f t="shared" si="8"/>
        <v>311513.03</v>
      </c>
      <c r="AC10" s="55">
        <f t="shared" si="8"/>
        <v>338359.95</v>
      </c>
      <c r="AD10" s="55">
        <f t="shared" si="8"/>
        <v>366876.5</v>
      </c>
      <c r="AE10" s="56"/>
    </row>
    <row r="11">
      <c r="A11" s="57"/>
      <c r="B11" s="58" t="s">
        <v>18</v>
      </c>
      <c r="C11" s="48">
        <v>10259.81</v>
      </c>
      <c r="D11" s="48">
        <v>11173.46</v>
      </c>
      <c r="E11" s="48">
        <v>12131.02</v>
      </c>
      <c r="F11" s="48">
        <v>12899.6</v>
      </c>
      <c r="G11" s="48">
        <v>12249.58</v>
      </c>
      <c r="H11" s="48">
        <v>13284.07</v>
      </c>
      <c r="I11" s="48">
        <v>14221.36</v>
      </c>
      <c r="J11" s="49">
        <v>15157.59</v>
      </c>
      <c r="K11" s="50">
        <v>91152.68</v>
      </c>
      <c r="L11" s="50">
        <v>99983.06</v>
      </c>
      <c r="M11" s="50">
        <v>108295.65</v>
      </c>
      <c r="N11" s="51">
        <v>118398.38</v>
      </c>
      <c r="O11" s="48">
        <v>42972.84</v>
      </c>
      <c r="P11" s="52">
        <v>46721.89</v>
      </c>
      <c r="Q11" s="53">
        <v>49724.89</v>
      </c>
      <c r="R11" s="54">
        <v>54866.88</v>
      </c>
      <c r="S11" s="48">
        <v>38132.45</v>
      </c>
      <c r="T11" s="48">
        <v>42417.2</v>
      </c>
      <c r="U11" s="48">
        <v>46670.27</v>
      </c>
      <c r="V11" s="48">
        <v>51617.3</v>
      </c>
      <c r="W11" s="48">
        <v>9452.21</v>
      </c>
      <c r="X11" s="48">
        <v>101732.19</v>
      </c>
      <c r="Y11" s="48">
        <v>108833.45</v>
      </c>
      <c r="Z11" s="48">
        <v>117602.95</v>
      </c>
      <c r="AA11" s="55">
        <f t="shared" ref="AA11:AD11" si="9">C11+G11+K11+O11+S11+W11</f>
        <v>204219.57</v>
      </c>
      <c r="AB11" s="55">
        <f t="shared" si="9"/>
        <v>315311.87</v>
      </c>
      <c r="AC11" s="55">
        <f t="shared" si="9"/>
        <v>339876.64</v>
      </c>
      <c r="AD11" s="55">
        <f t="shared" si="9"/>
        <v>370542.7</v>
      </c>
      <c r="AE11" s="56"/>
    </row>
    <row r="12">
      <c r="A12" s="57"/>
      <c r="B12" s="58" t="s">
        <v>19</v>
      </c>
      <c r="C12" s="48">
        <v>16907.39</v>
      </c>
      <c r="D12" s="48">
        <v>17631.3</v>
      </c>
      <c r="E12" s="48">
        <v>18396.74</v>
      </c>
      <c r="F12" s="48">
        <v>19195.07</v>
      </c>
      <c r="G12" s="48">
        <v>33161.9</v>
      </c>
      <c r="H12" s="48">
        <v>35734.64</v>
      </c>
      <c r="I12" s="48">
        <v>37823.43</v>
      </c>
      <c r="J12" s="49">
        <v>39950.35</v>
      </c>
      <c r="K12" s="50">
        <v>262247.28</v>
      </c>
      <c r="L12" s="50">
        <v>281781.27</v>
      </c>
      <c r="M12" s="50">
        <v>295297.83</v>
      </c>
      <c r="N12" s="51">
        <v>313673.07</v>
      </c>
      <c r="O12" s="48">
        <v>97480.64</v>
      </c>
      <c r="P12" s="52">
        <v>105146.0</v>
      </c>
      <c r="Q12" s="53">
        <v>113765.59</v>
      </c>
      <c r="R12" s="54">
        <v>124147.98</v>
      </c>
      <c r="S12" s="48">
        <v>63846.51</v>
      </c>
      <c r="T12" s="48">
        <v>70658.78</v>
      </c>
      <c r="U12" s="48">
        <v>77416.08</v>
      </c>
      <c r="V12" s="48">
        <v>84182.23</v>
      </c>
      <c r="W12" s="48">
        <v>119126.09</v>
      </c>
      <c r="X12" s="48">
        <v>126994.5</v>
      </c>
      <c r="Y12" s="48">
        <v>135158.83</v>
      </c>
      <c r="Z12" s="48">
        <v>145374.43</v>
      </c>
      <c r="AA12" s="55">
        <f t="shared" ref="AA12:AD12" si="10">C12+G12+K12+O12+S12+W12</f>
        <v>592769.81</v>
      </c>
      <c r="AB12" s="55">
        <f t="shared" si="10"/>
        <v>637946.49</v>
      </c>
      <c r="AC12" s="55">
        <f t="shared" si="10"/>
        <v>677858.5</v>
      </c>
      <c r="AD12" s="55">
        <f t="shared" si="10"/>
        <v>726523.13</v>
      </c>
      <c r="AE12" s="56"/>
    </row>
    <row r="13">
      <c r="A13" s="57"/>
      <c r="B13" s="58" t="s">
        <v>20</v>
      </c>
      <c r="C13" s="48">
        <v>4018.73</v>
      </c>
      <c r="D13" s="48">
        <v>4432.25</v>
      </c>
      <c r="E13" s="48">
        <v>4721.39</v>
      </c>
      <c r="F13" s="48">
        <v>4794.84</v>
      </c>
      <c r="G13" s="48">
        <v>14912.11</v>
      </c>
      <c r="H13" s="48">
        <v>14810.0</v>
      </c>
      <c r="I13" s="48">
        <v>14850.57</v>
      </c>
      <c r="J13" s="49">
        <v>14594.36</v>
      </c>
      <c r="K13" s="50">
        <v>210508.45</v>
      </c>
      <c r="L13" s="50">
        <v>221857.65</v>
      </c>
      <c r="M13" s="50">
        <v>233740.3</v>
      </c>
      <c r="N13" s="51">
        <v>242701.8</v>
      </c>
      <c r="O13" s="48">
        <v>38743.11</v>
      </c>
      <c r="P13" s="52">
        <v>40184.13</v>
      </c>
      <c r="Q13" s="53">
        <v>41870.17</v>
      </c>
      <c r="R13" s="54">
        <v>43238.82</v>
      </c>
      <c r="S13" s="48">
        <v>27690.76</v>
      </c>
      <c r="T13" s="48">
        <v>28289.1</v>
      </c>
      <c r="U13" s="48">
        <v>28899.58</v>
      </c>
      <c r="V13" s="48">
        <v>30519.47</v>
      </c>
      <c r="W13" s="48">
        <v>43096.15</v>
      </c>
      <c r="X13" s="48">
        <v>44731.09</v>
      </c>
      <c r="Y13" s="48">
        <v>46473.15</v>
      </c>
      <c r="Z13" s="48">
        <v>47512.44</v>
      </c>
      <c r="AA13" s="55">
        <f t="shared" ref="AA13:AD13" si="11">C13+G13+K13+O13+S13+W13</f>
        <v>338969.31</v>
      </c>
      <c r="AB13" s="55">
        <f t="shared" si="11"/>
        <v>354304.22</v>
      </c>
      <c r="AC13" s="55">
        <f t="shared" si="11"/>
        <v>370555.16</v>
      </c>
      <c r="AD13" s="55">
        <f t="shared" si="11"/>
        <v>383361.73</v>
      </c>
      <c r="AE13" s="56"/>
    </row>
    <row r="14">
      <c r="A14" s="57"/>
      <c r="B14" s="58" t="s">
        <v>21</v>
      </c>
      <c r="C14" s="48">
        <v>7864.69</v>
      </c>
      <c r="D14" s="48">
        <v>8155.53</v>
      </c>
      <c r="E14" s="48">
        <v>8487.82</v>
      </c>
      <c r="F14" s="48">
        <v>8831.62</v>
      </c>
      <c r="G14" s="48">
        <v>44509.24</v>
      </c>
      <c r="H14" s="48">
        <v>46071.63</v>
      </c>
      <c r="I14" s="48">
        <v>47716.22</v>
      </c>
      <c r="J14" s="49">
        <v>50549.62</v>
      </c>
      <c r="K14" s="50">
        <v>122960.43</v>
      </c>
      <c r="L14" s="50">
        <v>123874.01</v>
      </c>
      <c r="M14" s="50">
        <v>125748.53</v>
      </c>
      <c r="N14" s="51">
        <v>129233.11</v>
      </c>
      <c r="O14" s="48">
        <v>22993.05</v>
      </c>
      <c r="P14" s="52">
        <v>24426.12</v>
      </c>
      <c r="Q14" s="53">
        <v>26046.99</v>
      </c>
      <c r="R14" s="54">
        <v>28187.87</v>
      </c>
      <c r="S14" s="48">
        <v>20107.1</v>
      </c>
      <c r="T14" s="48">
        <v>21494.52</v>
      </c>
      <c r="U14" s="48">
        <v>22764.06</v>
      </c>
      <c r="V14" s="48">
        <v>24042.7</v>
      </c>
      <c r="W14" s="48">
        <v>31618.65</v>
      </c>
      <c r="X14" s="48">
        <v>32469.01</v>
      </c>
      <c r="Y14" s="48">
        <v>33414.39</v>
      </c>
      <c r="Z14" s="48">
        <v>34538.09</v>
      </c>
      <c r="AA14" s="55">
        <f t="shared" ref="AA14:AD14" si="12">C14+G14+K14+O14+S14+W14</f>
        <v>250053.16</v>
      </c>
      <c r="AB14" s="55">
        <f t="shared" si="12"/>
        <v>256490.82</v>
      </c>
      <c r="AC14" s="55">
        <f t="shared" si="12"/>
        <v>264178.01</v>
      </c>
      <c r="AD14" s="55">
        <f t="shared" si="12"/>
        <v>275383.01</v>
      </c>
      <c r="AE14" s="56"/>
    </row>
    <row r="15">
      <c r="A15" s="57"/>
      <c r="B15" s="58" t="s">
        <v>22</v>
      </c>
      <c r="C15" s="48">
        <v>1206.95</v>
      </c>
      <c r="D15" s="48">
        <v>1304.87</v>
      </c>
      <c r="E15" s="48">
        <v>1379.82</v>
      </c>
      <c r="F15" s="48">
        <v>1441.25</v>
      </c>
      <c r="G15" s="48">
        <v>4734.99</v>
      </c>
      <c r="H15" s="48">
        <v>5079.95</v>
      </c>
      <c r="I15" s="48">
        <v>5411.81</v>
      </c>
      <c r="J15" s="49">
        <v>5764.16</v>
      </c>
      <c r="K15" s="50">
        <v>160597.53</v>
      </c>
      <c r="L15" s="50">
        <v>171012.97</v>
      </c>
      <c r="M15" s="50">
        <v>179075.25</v>
      </c>
      <c r="N15" s="51">
        <v>192789.53</v>
      </c>
      <c r="O15" s="48">
        <v>6851.04</v>
      </c>
      <c r="P15" s="52">
        <v>7350.91</v>
      </c>
      <c r="Q15" s="53">
        <v>7534.11</v>
      </c>
      <c r="R15" s="54">
        <v>8226.54</v>
      </c>
      <c r="S15" s="48">
        <v>4051.19</v>
      </c>
      <c r="T15" s="48">
        <v>4344.41</v>
      </c>
      <c r="U15" s="48">
        <v>4741.92</v>
      </c>
      <c r="V15" s="48">
        <v>5114.67</v>
      </c>
      <c r="W15" s="48">
        <v>13112.65</v>
      </c>
      <c r="X15" s="48">
        <v>14196.94</v>
      </c>
      <c r="Y15" s="48">
        <v>15316.23</v>
      </c>
      <c r="Z15" s="48">
        <v>16730.96</v>
      </c>
      <c r="AA15" s="55">
        <f t="shared" ref="AA15:AD15" si="13">C15+G15+K15+O15+S15+W15</f>
        <v>190554.35</v>
      </c>
      <c r="AB15" s="55">
        <f t="shared" si="13"/>
        <v>203290.05</v>
      </c>
      <c r="AC15" s="55">
        <f t="shared" si="13"/>
        <v>213459.14</v>
      </c>
      <c r="AD15" s="55">
        <f t="shared" si="13"/>
        <v>230067.11</v>
      </c>
      <c r="AE15" s="56"/>
    </row>
    <row r="16">
      <c r="A16" s="46"/>
      <c r="B16" s="47" t="s">
        <v>23</v>
      </c>
      <c r="C16" s="48">
        <v>7497.26</v>
      </c>
      <c r="D16" s="48">
        <v>7684.43</v>
      </c>
      <c r="E16" s="48">
        <v>8181.35</v>
      </c>
      <c r="F16" s="48">
        <v>8691.93</v>
      </c>
      <c r="G16" s="48">
        <v>8129.36</v>
      </c>
      <c r="H16" s="48">
        <v>8284.55</v>
      </c>
      <c r="I16" s="48">
        <v>9670.75</v>
      </c>
      <c r="J16" s="49">
        <v>10158.72</v>
      </c>
      <c r="K16" s="50">
        <v>65903.85</v>
      </c>
      <c r="L16" s="50">
        <v>65927.42</v>
      </c>
      <c r="M16" s="50">
        <v>66748.89</v>
      </c>
      <c r="N16" s="51">
        <v>70328.04</v>
      </c>
      <c r="O16" s="48">
        <v>25710.27</v>
      </c>
      <c r="P16" s="52">
        <v>26337.53</v>
      </c>
      <c r="Q16" s="53">
        <v>28635.78</v>
      </c>
      <c r="R16" s="54">
        <v>29786.49</v>
      </c>
      <c r="S16" s="48">
        <v>24915.02</v>
      </c>
      <c r="T16" s="48">
        <v>25944.09</v>
      </c>
      <c r="U16" s="48">
        <v>27897.21</v>
      </c>
      <c r="V16" s="48">
        <v>28525.56</v>
      </c>
      <c r="W16" s="48">
        <v>35038.58</v>
      </c>
      <c r="X16" s="48">
        <v>35054.16</v>
      </c>
      <c r="Y16" s="48">
        <v>37780.98</v>
      </c>
      <c r="Z16" s="48">
        <v>38572.93</v>
      </c>
      <c r="AA16" s="55">
        <f t="shared" ref="AA16:AD16" si="14">C16+G16+K16+O16+S16+W16</f>
        <v>167194.34</v>
      </c>
      <c r="AB16" s="55">
        <f t="shared" si="14"/>
        <v>169232.18</v>
      </c>
      <c r="AC16" s="55">
        <f t="shared" si="14"/>
        <v>178914.96</v>
      </c>
      <c r="AD16" s="55">
        <f t="shared" si="14"/>
        <v>186063.67</v>
      </c>
      <c r="AE16" s="56"/>
    </row>
    <row r="17">
      <c r="A17" s="57"/>
      <c r="B17" s="58" t="s">
        <v>24</v>
      </c>
      <c r="C17" s="48">
        <v>10131.25</v>
      </c>
      <c r="D17" s="48">
        <v>10608.42</v>
      </c>
      <c r="E17" s="48">
        <v>11040.87</v>
      </c>
      <c r="F17" s="48">
        <v>11678.27</v>
      </c>
      <c r="G17" s="48">
        <v>13992.86</v>
      </c>
      <c r="H17" s="48">
        <v>14801.04</v>
      </c>
      <c r="I17" s="48">
        <v>15536.43</v>
      </c>
      <c r="J17" s="49">
        <v>16712.65</v>
      </c>
      <c r="K17" s="50">
        <v>87753.29</v>
      </c>
      <c r="L17" s="50">
        <v>88808.74</v>
      </c>
      <c r="M17" s="50">
        <v>92590.16</v>
      </c>
      <c r="N17" s="51">
        <v>98916.94</v>
      </c>
      <c r="O17" s="48">
        <v>46244.59</v>
      </c>
      <c r="P17" s="52">
        <v>48575.41</v>
      </c>
      <c r="Q17" s="53">
        <v>51464.14</v>
      </c>
      <c r="R17" s="54">
        <v>54833.43</v>
      </c>
      <c r="S17" s="48">
        <v>39589.05</v>
      </c>
      <c r="T17" s="48">
        <v>41951.57</v>
      </c>
      <c r="U17" s="48">
        <v>45530.22</v>
      </c>
      <c r="V17" s="48">
        <v>48491.96</v>
      </c>
      <c r="W17" s="48">
        <v>46578.62</v>
      </c>
      <c r="X17" s="48">
        <v>48831.68</v>
      </c>
      <c r="Y17" s="48">
        <v>51180.4</v>
      </c>
      <c r="Z17" s="48">
        <v>54313.3</v>
      </c>
      <c r="AA17" s="55">
        <f t="shared" ref="AA17:AD17" si="15">C17+G17+K17+O17+S17+W17</f>
        <v>244289.66</v>
      </c>
      <c r="AB17" s="55">
        <f t="shared" si="15"/>
        <v>253576.86</v>
      </c>
      <c r="AC17" s="55">
        <f t="shared" si="15"/>
        <v>267342.22</v>
      </c>
      <c r="AD17" s="55">
        <f t="shared" si="15"/>
        <v>284946.55</v>
      </c>
      <c r="AE17" s="56"/>
    </row>
    <row r="18">
      <c r="A18" s="57"/>
      <c r="B18" s="58" t="s">
        <v>25</v>
      </c>
      <c r="C18" s="48">
        <v>3579.58</v>
      </c>
      <c r="D18" s="48">
        <v>3805.74</v>
      </c>
      <c r="E18" s="48">
        <v>4009.28</v>
      </c>
      <c r="F18" s="48">
        <v>4299.31</v>
      </c>
      <c r="G18" s="48">
        <v>6857.86</v>
      </c>
      <c r="H18" s="48">
        <v>7355.42</v>
      </c>
      <c r="I18" s="48">
        <v>8014.95</v>
      </c>
      <c r="J18" s="49">
        <v>8264.36</v>
      </c>
      <c r="K18" s="50">
        <v>43362.28</v>
      </c>
      <c r="L18" s="50">
        <v>45901.07</v>
      </c>
      <c r="M18" s="50">
        <v>48385.48</v>
      </c>
      <c r="N18" s="51">
        <v>50863.07</v>
      </c>
      <c r="O18" s="48">
        <v>13404.19</v>
      </c>
      <c r="P18" s="52">
        <v>14189.42</v>
      </c>
      <c r="Q18" s="53">
        <v>15038.14</v>
      </c>
      <c r="R18" s="54">
        <v>16510.72</v>
      </c>
      <c r="S18" s="48">
        <v>9709.66</v>
      </c>
      <c r="T18" s="48">
        <v>10274.55</v>
      </c>
      <c r="U18" s="48">
        <v>11022.21</v>
      </c>
      <c r="V18" s="48">
        <v>11573.88</v>
      </c>
      <c r="W18" s="48">
        <v>13143.41</v>
      </c>
      <c r="X18" s="48">
        <v>13653.77</v>
      </c>
      <c r="Y18" s="48">
        <v>14408.63</v>
      </c>
      <c r="Z18" s="48">
        <v>15342.46</v>
      </c>
      <c r="AA18" s="55">
        <f t="shared" ref="AA18:AD18" si="16">C18+G18+K18+O18+S18+W18</f>
        <v>90056.98</v>
      </c>
      <c r="AB18" s="55">
        <f t="shared" si="16"/>
        <v>95179.97</v>
      </c>
      <c r="AC18" s="55">
        <f t="shared" si="16"/>
        <v>100878.69</v>
      </c>
      <c r="AD18" s="55">
        <f t="shared" si="16"/>
        <v>106853.8</v>
      </c>
      <c r="AE18" s="56"/>
    </row>
    <row r="19">
      <c r="A19" s="57"/>
      <c r="B19" s="58" t="s">
        <v>26</v>
      </c>
      <c r="C19" s="48">
        <v>3412.77</v>
      </c>
      <c r="D19" s="48">
        <v>3652.74</v>
      </c>
      <c r="E19" s="48">
        <v>3775.49</v>
      </c>
      <c r="F19" s="48">
        <v>4048.02</v>
      </c>
      <c r="G19" s="48">
        <v>7198.0</v>
      </c>
      <c r="H19" s="48">
        <v>7873.42</v>
      </c>
      <c r="I19" s="48">
        <v>8270.15</v>
      </c>
      <c r="J19" s="49">
        <v>8731.87</v>
      </c>
      <c r="K19" s="50">
        <v>78134.58</v>
      </c>
      <c r="L19" s="50">
        <v>87201.78</v>
      </c>
      <c r="M19" s="50">
        <v>91930.32</v>
      </c>
      <c r="N19" s="51">
        <v>99711.9</v>
      </c>
      <c r="O19" s="48">
        <v>35559.49</v>
      </c>
      <c r="P19" s="52">
        <v>38253.41</v>
      </c>
      <c r="Q19" s="53">
        <v>41286.15</v>
      </c>
      <c r="R19" s="54">
        <v>44975.22</v>
      </c>
      <c r="S19" s="48">
        <v>17963.16</v>
      </c>
      <c r="T19" s="48">
        <v>19294.49</v>
      </c>
      <c r="U19" s="48">
        <v>20609.68</v>
      </c>
      <c r="V19" s="48">
        <v>22288.53</v>
      </c>
      <c r="W19" s="48">
        <v>24250.11</v>
      </c>
      <c r="X19" s="48">
        <v>26492.18</v>
      </c>
      <c r="Y19" s="48">
        <v>28759.88</v>
      </c>
      <c r="Z19" s="48">
        <v>31037.36</v>
      </c>
      <c r="AA19" s="55">
        <f t="shared" ref="AA19:AD19" si="17">C19+G19+K19+O19+S19+W19</f>
        <v>166518.11</v>
      </c>
      <c r="AB19" s="55">
        <f t="shared" si="17"/>
        <v>182768.02</v>
      </c>
      <c r="AC19" s="55">
        <f t="shared" si="17"/>
        <v>194631.67</v>
      </c>
      <c r="AD19" s="55">
        <f t="shared" si="17"/>
        <v>210792.9</v>
      </c>
      <c r="AE19" s="56"/>
    </row>
    <row r="20">
      <c r="A20" s="59"/>
      <c r="B20" s="60" t="s">
        <v>27</v>
      </c>
      <c r="C20" s="55">
        <f t="shared" ref="C20:P20" si="18">SUM(C3:C19)</f>
        <v>112901.34</v>
      </c>
      <c r="D20" s="55">
        <f t="shared" si="18"/>
        <v>118625.55</v>
      </c>
      <c r="E20" s="55">
        <f t="shared" si="18"/>
        <v>124590.44</v>
      </c>
      <c r="F20" s="55">
        <f t="shared" si="18"/>
        <v>131435.93</v>
      </c>
      <c r="G20" s="55">
        <f t="shared" si="18"/>
        <v>484131.21</v>
      </c>
      <c r="H20" s="55">
        <f t="shared" si="18"/>
        <v>507425.74</v>
      </c>
      <c r="I20" s="55">
        <f t="shared" si="18"/>
        <v>531735.24</v>
      </c>
      <c r="J20" s="55">
        <f t="shared" si="18"/>
        <v>560270.88</v>
      </c>
      <c r="K20" s="61">
        <f t="shared" si="18"/>
        <v>1953488.99</v>
      </c>
      <c r="L20" s="61">
        <f t="shared" si="18"/>
        <v>2050472.97</v>
      </c>
      <c r="M20" s="61">
        <f t="shared" si="18"/>
        <v>2151041.32</v>
      </c>
      <c r="N20" s="61">
        <f t="shared" si="18"/>
        <v>2263237.03</v>
      </c>
      <c r="O20" s="55">
        <f t="shared" si="18"/>
        <v>1589984.9</v>
      </c>
      <c r="P20" s="62">
        <f t="shared" si="18"/>
        <v>1669416.87</v>
      </c>
      <c r="Q20" s="53">
        <v>1752124.2</v>
      </c>
      <c r="R20" s="55">
        <f t="shared" ref="R20:AD20" si="19">SUM(R3:R19)</f>
        <v>1845316.73</v>
      </c>
      <c r="S20" s="55">
        <f t="shared" si="19"/>
        <v>1050278.08</v>
      </c>
      <c r="T20" s="55">
        <f t="shared" si="19"/>
        <v>1102437.48</v>
      </c>
      <c r="U20" s="55">
        <f t="shared" si="19"/>
        <v>1156998.87</v>
      </c>
      <c r="V20" s="55">
        <f t="shared" si="19"/>
        <v>1219148.6</v>
      </c>
      <c r="W20" s="55">
        <f t="shared" si="19"/>
        <v>1673174.89</v>
      </c>
      <c r="X20" s="55">
        <f t="shared" si="19"/>
        <v>1844808.7</v>
      </c>
      <c r="Y20" s="55">
        <f t="shared" si="19"/>
        <v>1935810.15</v>
      </c>
      <c r="Z20" s="55">
        <f t="shared" si="19"/>
        <v>2038961.65</v>
      </c>
      <c r="AA20" s="55">
        <f t="shared" si="19"/>
        <v>6863959.41</v>
      </c>
      <c r="AB20" s="55">
        <f t="shared" si="19"/>
        <v>7293187.31</v>
      </c>
      <c r="AC20" s="55">
        <f t="shared" si="19"/>
        <v>7652300.22</v>
      </c>
      <c r="AD20" s="55">
        <f t="shared" si="19"/>
        <v>8058370.82</v>
      </c>
      <c r="AE20" s="56"/>
    </row>
    <row r="21">
      <c r="A21" s="63"/>
      <c r="B21" s="64"/>
      <c r="C21" s="6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</row>
    <row r="22">
      <c r="A22" s="63"/>
      <c r="B22" s="64"/>
      <c r="C22" s="6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6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</row>
    <row r="23">
      <c r="A23" s="63"/>
      <c r="B23" s="64"/>
      <c r="C23" s="65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66"/>
      <c r="Q23" s="56"/>
      <c r="R23" s="56"/>
      <c r="S23" s="56"/>
      <c r="T23" s="56"/>
      <c r="U23" s="56"/>
      <c r="V23" s="56"/>
      <c r="W23" s="67"/>
      <c r="X23" s="56"/>
      <c r="Y23" s="56"/>
      <c r="Z23" s="56"/>
      <c r="AA23" s="56"/>
      <c r="AB23" s="56"/>
      <c r="AC23" s="56"/>
      <c r="AD23" s="56"/>
      <c r="AE23" s="56"/>
    </row>
    <row r="24">
      <c r="A24" s="68" t="s">
        <v>32</v>
      </c>
      <c r="B24" s="69" t="s">
        <v>33</v>
      </c>
      <c r="C24" s="70" t="s">
        <v>1</v>
      </c>
      <c r="D24" s="3"/>
      <c r="E24" s="3"/>
      <c r="F24" s="4"/>
      <c r="G24" s="71" t="s">
        <v>34</v>
      </c>
      <c r="H24" s="3"/>
      <c r="I24" s="3"/>
      <c r="J24" s="4"/>
      <c r="K24" s="70" t="s">
        <v>35</v>
      </c>
      <c r="L24" s="3"/>
      <c r="M24" s="3"/>
      <c r="N24" s="4"/>
      <c r="O24" s="56"/>
      <c r="P24" s="72"/>
      <c r="Q24" s="73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</row>
    <row r="25">
      <c r="A25" s="7"/>
      <c r="B25" s="7"/>
      <c r="C25" s="74">
        <v>2022.0</v>
      </c>
      <c r="D25" s="74">
        <v>2023.0</v>
      </c>
      <c r="E25" s="74">
        <v>2024.0</v>
      </c>
      <c r="F25" s="74">
        <v>2025.0</v>
      </c>
      <c r="G25" s="74">
        <v>2022.0</v>
      </c>
      <c r="H25" s="74">
        <v>2023.0</v>
      </c>
      <c r="I25" s="74">
        <v>2024.0</v>
      </c>
      <c r="J25" s="74">
        <v>2025.0</v>
      </c>
      <c r="K25" s="74">
        <v>2022.0</v>
      </c>
      <c r="L25" s="74">
        <v>2023.0</v>
      </c>
      <c r="M25" s="74">
        <v>2024.0</v>
      </c>
      <c r="N25" s="74">
        <v>2025.0</v>
      </c>
      <c r="O25" s="56"/>
      <c r="P25" s="72"/>
      <c r="Q25" s="73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</row>
    <row r="26">
      <c r="A26" s="75">
        <v>1.0</v>
      </c>
      <c r="B26" s="47" t="s">
        <v>10</v>
      </c>
      <c r="C26" s="55">
        <f t="shared" ref="C26:F26" si="20">C3/C$20</f>
        <v>0.08040453727</v>
      </c>
      <c r="D26" s="76">
        <f t="shared" si="20"/>
        <v>0.07750471968</v>
      </c>
      <c r="E26" s="76">
        <f t="shared" si="20"/>
        <v>0.07389403232</v>
      </c>
      <c r="F26" s="76">
        <f t="shared" si="20"/>
        <v>0.07449888322</v>
      </c>
      <c r="G26" s="76">
        <f t="shared" ref="G26:G42" si="24">AA3/AA$20</f>
        <v>0.06625349931</v>
      </c>
      <c r="H26" s="76">
        <f t="shared" ref="H26:H42" si="25">AA3/AA$20</f>
        <v>0.06625349931</v>
      </c>
      <c r="I26" s="76">
        <f t="shared" ref="I26:J26" si="21">AC3/AC$20</f>
        <v>0.06057045159</v>
      </c>
      <c r="J26" s="76">
        <f t="shared" si="21"/>
        <v>0.06124182555</v>
      </c>
      <c r="K26" s="76">
        <f t="shared" ref="K26:N26" si="22">C26/G26</f>
        <v>1.213589291</v>
      </c>
      <c r="L26" s="76">
        <f t="shared" si="22"/>
        <v>1.169820772</v>
      </c>
      <c r="M26" s="76">
        <f t="shared" si="22"/>
        <v>1.219968324</v>
      </c>
      <c r="N26" s="76">
        <f t="shared" si="22"/>
        <v>1.216470648</v>
      </c>
      <c r="O26" s="77"/>
      <c r="P26" s="78"/>
      <c r="Q26" s="79"/>
      <c r="R26" s="80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</row>
    <row r="27">
      <c r="A27" s="75">
        <f t="shared" ref="A27:A42" si="28">1+A26</f>
        <v>2</v>
      </c>
      <c r="B27" s="58" t="s">
        <v>11</v>
      </c>
      <c r="C27" s="55">
        <f t="shared" ref="C27:F27" si="23">C4/C$20</f>
        <v>0.004437768409</v>
      </c>
      <c r="D27" s="76">
        <f t="shared" si="23"/>
        <v>0.004361033521</v>
      </c>
      <c r="E27" s="76">
        <f t="shared" si="23"/>
        <v>0.004473858508</v>
      </c>
      <c r="F27" s="76">
        <f t="shared" si="23"/>
        <v>0.004503867398</v>
      </c>
      <c r="G27" s="76">
        <f t="shared" si="24"/>
        <v>0.0177445688</v>
      </c>
      <c r="H27" s="76">
        <f t="shared" si="25"/>
        <v>0.0177445688</v>
      </c>
      <c r="I27" s="76">
        <f t="shared" ref="I27:J27" si="26">AC4/AC$20</f>
        <v>0.01600997432</v>
      </c>
      <c r="J27" s="76">
        <f t="shared" si="26"/>
        <v>0.01537058207</v>
      </c>
      <c r="K27" s="76">
        <f t="shared" ref="K27:N27" si="27">C27/G27</f>
        <v>0.2500916454</v>
      </c>
      <c r="L27" s="76">
        <f t="shared" si="27"/>
        <v>0.24576723</v>
      </c>
      <c r="M27" s="76">
        <f t="shared" si="27"/>
        <v>0.2794419541</v>
      </c>
      <c r="N27" s="76">
        <f t="shared" si="27"/>
        <v>0.2930186624</v>
      </c>
      <c r="O27" s="56"/>
      <c r="P27" s="78"/>
      <c r="Q27" s="79"/>
      <c r="R27" s="81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</row>
    <row r="28">
      <c r="A28" s="75">
        <f t="shared" si="28"/>
        <v>3</v>
      </c>
      <c r="B28" s="58" t="s">
        <v>12</v>
      </c>
      <c r="C28" s="55">
        <f t="shared" ref="C28:F28" si="29">C5/C$20</f>
        <v>0.1141739327</v>
      </c>
      <c r="D28" s="76">
        <f t="shared" si="29"/>
        <v>0.1133082207</v>
      </c>
      <c r="E28" s="76">
        <f t="shared" si="29"/>
        <v>0.1119691045</v>
      </c>
      <c r="F28" s="76">
        <f t="shared" si="29"/>
        <v>0.1107749608</v>
      </c>
      <c r="G28" s="76">
        <f t="shared" si="24"/>
        <v>0.2867487834</v>
      </c>
      <c r="H28" s="76">
        <f t="shared" si="25"/>
        <v>0.2867487834</v>
      </c>
      <c r="I28" s="76">
        <f t="shared" ref="I28:J28" si="30">AC5/AC$20</f>
        <v>0.2785400087</v>
      </c>
      <c r="J28" s="76">
        <f t="shared" si="30"/>
        <v>0.2751181498</v>
      </c>
      <c r="K28" s="76">
        <f t="shared" ref="K28:N28" si="31">C28/G28</f>
        <v>0.3981671043</v>
      </c>
      <c r="L28" s="76">
        <f t="shared" si="31"/>
        <v>0.3951480434</v>
      </c>
      <c r="M28" s="76">
        <f t="shared" si="31"/>
        <v>0.4019857149</v>
      </c>
      <c r="N28" s="76">
        <f t="shared" si="31"/>
        <v>0.4026450489</v>
      </c>
      <c r="O28" s="56"/>
      <c r="P28" s="78"/>
      <c r="Q28" s="73"/>
      <c r="R28" s="81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</row>
    <row r="29">
      <c r="A29" s="75">
        <f t="shared" si="28"/>
        <v>4</v>
      </c>
      <c r="B29" s="58" t="s">
        <v>13</v>
      </c>
      <c r="C29" s="55">
        <f t="shared" ref="C29:F29" si="32">C6/C$20</f>
        <v>0.001578546366</v>
      </c>
      <c r="D29" s="76">
        <f t="shared" si="32"/>
        <v>0.001612300217</v>
      </c>
      <c r="E29" s="76">
        <f t="shared" si="32"/>
        <v>0.001698926499</v>
      </c>
      <c r="F29" s="76">
        <f t="shared" si="32"/>
        <v>0.001683862244</v>
      </c>
      <c r="G29" s="76">
        <f t="shared" si="24"/>
        <v>0.003088951833</v>
      </c>
      <c r="H29" s="76">
        <f t="shared" si="25"/>
        <v>0.003088951833</v>
      </c>
      <c r="I29" s="76">
        <f t="shared" ref="I29:J29" si="33">AC6/AC$20</f>
        <v>0.002823693449</v>
      </c>
      <c r="J29" s="76">
        <f t="shared" si="33"/>
        <v>0.002704866838</v>
      </c>
      <c r="K29" s="76">
        <f t="shared" ref="K29:N29" si="34">C29/G29</f>
        <v>0.511029777</v>
      </c>
      <c r="L29" s="76">
        <f t="shared" si="34"/>
        <v>0.5219570599</v>
      </c>
      <c r="M29" s="76">
        <f t="shared" si="34"/>
        <v>0.6016681802</v>
      </c>
      <c r="N29" s="76">
        <f t="shared" si="34"/>
        <v>0.6225305512</v>
      </c>
      <c r="O29" s="56"/>
      <c r="P29" s="78"/>
      <c r="Q29" s="73"/>
      <c r="R29" s="81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</row>
    <row r="30">
      <c r="A30" s="75">
        <f t="shared" si="28"/>
        <v>5</v>
      </c>
      <c r="B30" s="47" t="s">
        <v>14</v>
      </c>
      <c r="C30" s="55">
        <f t="shared" ref="C30:F30" si="35">C7/C$20</f>
        <v>0.001015399817</v>
      </c>
      <c r="D30" s="76">
        <f t="shared" si="35"/>
        <v>0.0009995317198</v>
      </c>
      <c r="E30" s="76">
        <f t="shared" si="35"/>
        <v>0.0009601057673</v>
      </c>
      <c r="F30" s="76">
        <f t="shared" si="35"/>
        <v>0.0009050797602</v>
      </c>
      <c r="G30" s="76">
        <f t="shared" si="24"/>
        <v>0.0007888668444</v>
      </c>
      <c r="H30" s="76">
        <f t="shared" si="25"/>
        <v>0.0007888668444</v>
      </c>
      <c r="I30" s="76">
        <f t="shared" ref="I30:J30" si="36">AC7/AC$20</f>
        <v>0.0007558707622</v>
      </c>
      <c r="J30" s="76">
        <f t="shared" si="36"/>
        <v>0.0007319357885</v>
      </c>
      <c r="K30" s="76">
        <f t="shared" ref="K30:N30" si="37">C30/G30</f>
        <v>1.287162497</v>
      </c>
      <c r="L30" s="76">
        <f t="shared" si="37"/>
        <v>1.267047445</v>
      </c>
      <c r="M30" s="76">
        <f t="shared" si="37"/>
        <v>1.270198313</v>
      </c>
      <c r="N30" s="76">
        <f t="shared" si="37"/>
        <v>1.236556231</v>
      </c>
      <c r="O30" s="56"/>
      <c r="P30" s="78"/>
      <c r="Q30" s="79"/>
      <c r="R30" s="81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</row>
    <row r="31">
      <c r="A31" s="75">
        <f t="shared" si="28"/>
        <v>6</v>
      </c>
      <c r="B31" s="58" t="s">
        <v>15</v>
      </c>
      <c r="C31" s="55">
        <f t="shared" ref="C31:F31" si="38">C8/C$20</f>
        <v>0.09914302169</v>
      </c>
      <c r="D31" s="76">
        <f t="shared" si="38"/>
        <v>0.09890002617</v>
      </c>
      <c r="E31" s="76">
        <f t="shared" si="38"/>
        <v>0.1020387279</v>
      </c>
      <c r="F31" s="76">
        <f t="shared" si="38"/>
        <v>0.1043667436</v>
      </c>
      <c r="G31" s="76">
        <f t="shared" si="24"/>
        <v>0.09778848474</v>
      </c>
      <c r="H31" s="76">
        <f t="shared" si="25"/>
        <v>0.09778848474</v>
      </c>
      <c r="I31" s="76">
        <f t="shared" ref="I31:J31" si="39">AC8/AC$20</f>
        <v>0.09795305443</v>
      </c>
      <c r="J31" s="76">
        <f t="shared" si="39"/>
        <v>0.09746201404</v>
      </c>
      <c r="K31" s="76">
        <f t="shared" ref="K31:N31" si="40">C31/G31</f>
        <v>1.013851702</v>
      </c>
      <c r="L31" s="76">
        <f t="shared" si="40"/>
        <v>1.011366793</v>
      </c>
      <c r="M31" s="76">
        <f t="shared" si="40"/>
        <v>1.041710526</v>
      </c>
      <c r="N31" s="76">
        <f t="shared" si="40"/>
        <v>1.07084534</v>
      </c>
      <c r="O31" s="77"/>
      <c r="P31" s="78"/>
      <c r="Q31" s="73"/>
      <c r="R31" s="81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</row>
    <row r="32">
      <c r="A32" s="75">
        <f t="shared" si="28"/>
        <v>7</v>
      </c>
      <c r="B32" s="58" t="s">
        <v>16</v>
      </c>
      <c r="C32" s="55">
        <f t="shared" ref="C32:F32" si="41">C9/C$20</f>
        <v>0.07776462175</v>
      </c>
      <c r="D32" s="76">
        <f t="shared" si="41"/>
        <v>0.07721329848</v>
      </c>
      <c r="E32" s="76">
        <f t="shared" si="41"/>
        <v>0.07642624908</v>
      </c>
      <c r="F32" s="76">
        <f t="shared" si="41"/>
        <v>0.07626719726</v>
      </c>
      <c r="G32" s="76">
        <f t="shared" si="24"/>
        <v>0.1600234128</v>
      </c>
      <c r="H32" s="76">
        <f t="shared" si="25"/>
        <v>0.1600234128</v>
      </c>
      <c r="I32" s="76">
        <f t="shared" ref="I32:J32" si="42">AC9/AC$20</f>
        <v>0.1583574854</v>
      </c>
      <c r="J32" s="76">
        <f t="shared" si="42"/>
        <v>0.1575385904</v>
      </c>
      <c r="K32" s="76">
        <f t="shared" ref="K32:N32" si="43">C32/G32</f>
        <v>0.4859577758</v>
      </c>
      <c r="L32" s="76">
        <f t="shared" si="43"/>
        <v>0.4825125095</v>
      </c>
      <c r="M32" s="76">
        <f t="shared" si="43"/>
        <v>0.4826184813</v>
      </c>
      <c r="N32" s="76">
        <f t="shared" si="43"/>
        <v>0.4841175553</v>
      </c>
      <c r="O32" s="56"/>
      <c r="P32" s="78"/>
      <c r="Q32" s="73"/>
      <c r="R32" s="81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</row>
    <row r="33">
      <c r="A33" s="75">
        <f t="shared" si="28"/>
        <v>8</v>
      </c>
      <c r="B33" s="58" t="s">
        <v>17</v>
      </c>
      <c r="C33" s="55">
        <f t="shared" ref="C33:F33" si="44">C10/C$20</f>
        <v>0.04683505085</v>
      </c>
      <c r="D33" s="76">
        <f t="shared" si="44"/>
        <v>0.04908571551</v>
      </c>
      <c r="E33" s="76">
        <f t="shared" si="44"/>
        <v>0.04965204393</v>
      </c>
      <c r="F33" s="76">
        <f t="shared" si="44"/>
        <v>0.04968458777</v>
      </c>
      <c r="G33" s="76">
        <f t="shared" si="24"/>
        <v>0.04054732457</v>
      </c>
      <c r="H33" s="76">
        <f t="shared" si="25"/>
        <v>0.04054732457</v>
      </c>
      <c r="I33" s="76">
        <f t="shared" ref="I33:J33" si="45">AC10/AC$20</f>
        <v>0.04421676362</v>
      </c>
      <c r="J33" s="76">
        <f t="shared" si="45"/>
        <v>0.0455273787</v>
      </c>
      <c r="K33" s="76">
        <f t="shared" ref="K33:N33" si="46">C33/G33</f>
        <v>1.155071299</v>
      </c>
      <c r="L33" s="76">
        <f t="shared" si="46"/>
        <v>1.210578405</v>
      </c>
      <c r="M33" s="76">
        <f t="shared" si="46"/>
        <v>1.122923522</v>
      </c>
      <c r="N33" s="76">
        <f t="shared" si="46"/>
        <v>1.091312287</v>
      </c>
      <c r="O33" s="77"/>
      <c r="P33" s="78"/>
      <c r="Q33" s="79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</row>
    <row r="34">
      <c r="A34" s="75">
        <f t="shared" si="28"/>
        <v>9</v>
      </c>
      <c r="B34" s="58" t="s">
        <v>18</v>
      </c>
      <c r="C34" s="55">
        <f t="shared" ref="C34:F34" si="47">C11/C$20</f>
        <v>0.09087412071</v>
      </c>
      <c r="D34" s="76">
        <f t="shared" si="47"/>
        <v>0.09419100691</v>
      </c>
      <c r="E34" s="76">
        <f t="shared" si="47"/>
        <v>0.09736718162</v>
      </c>
      <c r="F34" s="76">
        <f t="shared" si="47"/>
        <v>0.09814363546</v>
      </c>
      <c r="G34" s="76">
        <f t="shared" si="24"/>
        <v>0.0297524443</v>
      </c>
      <c r="H34" s="76">
        <f t="shared" si="25"/>
        <v>0.0297524443</v>
      </c>
      <c r="I34" s="76">
        <f t="shared" ref="I34:J34" si="48">AC11/AC$20</f>
        <v>0.04441496416</v>
      </c>
      <c r="J34" s="76">
        <f t="shared" si="48"/>
        <v>0.04598233418</v>
      </c>
      <c r="K34" s="76">
        <f t="shared" ref="K34:N34" si="49">C34/G34</f>
        <v>3.054341344</v>
      </c>
      <c r="L34" s="76">
        <f t="shared" si="49"/>
        <v>3.165824158</v>
      </c>
      <c r="M34" s="76">
        <f t="shared" si="49"/>
        <v>2.192215697</v>
      </c>
      <c r="N34" s="76">
        <f t="shared" si="49"/>
        <v>2.134376978</v>
      </c>
      <c r="O34" s="77"/>
      <c r="P34" s="78"/>
      <c r="Q34" s="79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</row>
    <row r="35">
      <c r="A35" s="75">
        <f t="shared" si="28"/>
        <v>10</v>
      </c>
      <c r="B35" s="58" t="s">
        <v>19</v>
      </c>
      <c r="C35" s="55">
        <f t="shared" ref="C35:F35" si="50">C12/C$20</f>
        <v>0.1497536699</v>
      </c>
      <c r="D35" s="76">
        <f t="shared" si="50"/>
        <v>0.1486298694</v>
      </c>
      <c r="E35" s="76">
        <f t="shared" si="50"/>
        <v>0.1476577176</v>
      </c>
      <c r="F35" s="76">
        <f t="shared" si="50"/>
        <v>0.1460412689</v>
      </c>
      <c r="G35" s="76">
        <f t="shared" si="24"/>
        <v>0.08635974874</v>
      </c>
      <c r="H35" s="76">
        <f t="shared" si="25"/>
        <v>0.08635974874</v>
      </c>
      <c r="I35" s="76">
        <f t="shared" ref="I35:J35" si="51">AC12/AC$20</f>
        <v>0.08858231911</v>
      </c>
      <c r="J35" s="76">
        <f t="shared" si="51"/>
        <v>0.09015756984</v>
      </c>
      <c r="K35" s="76">
        <f t="shared" ref="K35:N35" si="52">C35/G35</f>
        <v>1.73406792</v>
      </c>
      <c r="L35" s="76">
        <f t="shared" si="52"/>
        <v>1.721054907</v>
      </c>
      <c r="M35" s="76">
        <f t="shared" si="52"/>
        <v>1.666898305</v>
      </c>
      <c r="N35" s="76">
        <f t="shared" si="52"/>
        <v>1.619844781</v>
      </c>
      <c r="O35" s="77"/>
      <c r="P35" s="78"/>
      <c r="Q35" s="73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</row>
    <row r="36">
      <c r="A36" s="75">
        <f t="shared" si="28"/>
        <v>11</v>
      </c>
      <c r="B36" s="58" t="s">
        <v>20</v>
      </c>
      <c r="C36" s="55">
        <f t="shared" ref="C36:F36" si="53">C13/C$20</f>
        <v>0.03559506025</v>
      </c>
      <c r="D36" s="76">
        <f t="shared" si="53"/>
        <v>0.03736336734</v>
      </c>
      <c r="E36" s="76">
        <f t="shared" si="53"/>
        <v>0.03789528314</v>
      </c>
      <c r="F36" s="76">
        <f t="shared" si="53"/>
        <v>0.03648043575</v>
      </c>
      <c r="G36" s="76">
        <f t="shared" si="24"/>
        <v>0.04938393276</v>
      </c>
      <c r="H36" s="76">
        <f t="shared" si="25"/>
        <v>0.04938393276</v>
      </c>
      <c r="I36" s="76">
        <f t="shared" ref="I36:J36" si="54">AC13/AC$20</f>
        <v>0.04842402276</v>
      </c>
      <c r="J36" s="76">
        <f t="shared" si="54"/>
        <v>0.0475731061</v>
      </c>
      <c r="K36" s="76">
        <f t="shared" ref="K36:N36" si="55">C36/G36</f>
        <v>0.7207822112</v>
      </c>
      <c r="L36" s="76">
        <f t="shared" si="55"/>
        <v>0.7565895473</v>
      </c>
      <c r="M36" s="76">
        <f t="shared" si="55"/>
        <v>0.7825719752</v>
      </c>
      <c r="N36" s="76">
        <f t="shared" si="55"/>
        <v>0.7668289659</v>
      </c>
      <c r="O36" s="56"/>
      <c r="P36" s="78"/>
      <c r="Q36" s="73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</row>
    <row r="37">
      <c r="A37" s="75">
        <f t="shared" si="28"/>
        <v>12</v>
      </c>
      <c r="B37" s="58" t="s">
        <v>21</v>
      </c>
      <c r="C37" s="55">
        <f t="shared" ref="C37:F37" si="56">C14/C$20</f>
        <v>0.06965984638</v>
      </c>
      <c r="D37" s="76">
        <f t="shared" si="56"/>
        <v>0.06875019758</v>
      </c>
      <c r="E37" s="76">
        <f t="shared" si="56"/>
        <v>0.06812577273</v>
      </c>
      <c r="F37" s="76">
        <f t="shared" si="56"/>
        <v>0.0671933466</v>
      </c>
      <c r="G37" s="76">
        <f t="shared" si="24"/>
        <v>0.0364298716</v>
      </c>
      <c r="H37" s="76">
        <f t="shared" si="25"/>
        <v>0.0364298716</v>
      </c>
      <c r="I37" s="76">
        <f t="shared" ref="I37:J37" si="57">AC14/AC$20</f>
        <v>0.03452269284</v>
      </c>
      <c r="J37" s="76">
        <f t="shared" si="57"/>
        <v>0.0341735341</v>
      </c>
      <c r="K37" s="76">
        <f t="shared" ref="K37:N37" si="58">C37/G37</f>
        <v>1.91216283</v>
      </c>
      <c r="L37" s="76">
        <f t="shared" si="58"/>
        <v>1.88719297</v>
      </c>
      <c r="M37" s="76">
        <f t="shared" si="58"/>
        <v>1.973362074</v>
      </c>
      <c r="N37" s="76">
        <f t="shared" si="58"/>
        <v>1.966239324</v>
      </c>
      <c r="O37" s="56"/>
      <c r="P37" s="78"/>
      <c r="Q37" s="73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</row>
    <row r="38">
      <c r="A38" s="75">
        <f t="shared" si="28"/>
        <v>13</v>
      </c>
      <c r="B38" s="58" t="s">
        <v>22</v>
      </c>
      <c r="C38" s="55">
        <f t="shared" ref="C38:F38" si="59">C15/C$20</f>
        <v>0.01069030713</v>
      </c>
      <c r="D38" s="76">
        <f t="shared" si="59"/>
        <v>0.01099990685</v>
      </c>
      <c r="E38" s="76">
        <f t="shared" si="59"/>
        <v>0.01107484651</v>
      </c>
      <c r="F38" s="76">
        <f t="shared" si="59"/>
        <v>0.01096541866</v>
      </c>
      <c r="G38" s="76">
        <f t="shared" si="24"/>
        <v>0.02776157879</v>
      </c>
      <c r="H38" s="76">
        <f t="shared" si="25"/>
        <v>0.02776157879</v>
      </c>
      <c r="I38" s="76">
        <f t="shared" ref="I38:J38" si="60">AC15/AC$20</f>
        <v>0.02789476809</v>
      </c>
      <c r="J38" s="76">
        <f t="shared" si="60"/>
        <v>0.02855007732</v>
      </c>
      <c r="K38" s="76">
        <f t="shared" ref="K38:N38" si="61">C38/G38</f>
        <v>0.3850756187</v>
      </c>
      <c r="L38" s="76">
        <f t="shared" si="61"/>
        <v>0.3962277121</v>
      </c>
      <c r="M38" s="76">
        <f t="shared" si="61"/>
        <v>0.3970223548</v>
      </c>
      <c r="N38" s="76">
        <f t="shared" si="61"/>
        <v>0.3840766713</v>
      </c>
      <c r="O38" s="56"/>
      <c r="P38" s="78"/>
      <c r="Q38" s="73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>
      <c r="A39" s="75">
        <f t="shared" si="28"/>
        <v>14</v>
      </c>
      <c r="B39" s="47" t="s">
        <v>23</v>
      </c>
      <c r="C39" s="55">
        <f t="shared" ref="C39:F39" si="62">C16/C$20</f>
        <v>0.06640541202</v>
      </c>
      <c r="D39" s="76">
        <f t="shared" si="62"/>
        <v>0.06477887774</v>
      </c>
      <c r="E39" s="76">
        <f t="shared" si="62"/>
        <v>0.06566595318</v>
      </c>
      <c r="F39" s="76">
        <f t="shared" si="62"/>
        <v>0.06613054741</v>
      </c>
      <c r="G39" s="76">
        <f t="shared" si="24"/>
        <v>0.02435829381</v>
      </c>
      <c r="H39" s="76">
        <f t="shared" si="25"/>
        <v>0.02435829381</v>
      </c>
      <c r="I39" s="76">
        <f t="shared" ref="I39:J39" si="63">AC16/AC$20</f>
        <v>0.02338054635</v>
      </c>
      <c r="J39" s="76">
        <f t="shared" si="63"/>
        <v>0.02308948969</v>
      </c>
      <c r="K39" s="76">
        <f t="shared" ref="K39:N39" si="64">C39/G39</f>
        <v>2.72619308</v>
      </c>
      <c r="L39" s="76">
        <f t="shared" si="64"/>
        <v>2.659417702</v>
      </c>
      <c r="M39" s="76">
        <f t="shared" si="64"/>
        <v>2.808572229</v>
      </c>
      <c r="N39" s="76">
        <f t="shared" si="64"/>
        <v>2.8640974</v>
      </c>
      <c r="O39" s="56"/>
      <c r="P39" s="78"/>
      <c r="Q39" s="73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</row>
    <row r="40">
      <c r="A40" s="75">
        <f t="shared" si="28"/>
        <v>15</v>
      </c>
      <c r="B40" s="58" t="s">
        <v>24</v>
      </c>
      <c r="C40" s="55">
        <f t="shared" ref="C40:F40" si="65">C17/C$20</f>
        <v>0.08973542741</v>
      </c>
      <c r="D40" s="76">
        <f t="shared" si="65"/>
        <v>0.08942778347</v>
      </c>
      <c r="E40" s="76">
        <f t="shared" si="65"/>
        <v>0.08861731285</v>
      </c>
      <c r="F40" s="76">
        <f t="shared" si="65"/>
        <v>0.08885142746</v>
      </c>
      <c r="G40" s="76">
        <f t="shared" si="24"/>
        <v>0.03559019589</v>
      </c>
      <c r="H40" s="76">
        <f t="shared" si="25"/>
        <v>0.03559019589</v>
      </c>
      <c r="I40" s="76">
        <f t="shared" ref="I40:J40" si="66">AC17/AC$20</f>
        <v>0.03493619073</v>
      </c>
      <c r="J40" s="76">
        <f t="shared" si="66"/>
        <v>0.03536031741</v>
      </c>
      <c r="K40" s="76">
        <f t="shared" ref="K40:N40" si="67">C40/G40</f>
        <v>2.521352444</v>
      </c>
      <c r="L40" s="76">
        <f t="shared" si="67"/>
        <v>2.51270838</v>
      </c>
      <c r="M40" s="76">
        <f t="shared" si="67"/>
        <v>2.53654766</v>
      </c>
      <c r="N40" s="76">
        <f t="shared" si="67"/>
        <v>2.512744058</v>
      </c>
      <c r="O40" s="77"/>
      <c r="P40" s="78"/>
      <c r="Q40" s="73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</row>
    <row r="41">
      <c r="A41" s="75">
        <f t="shared" si="28"/>
        <v>16</v>
      </c>
      <c r="B41" s="58" t="s">
        <v>25</v>
      </c>
      <c r="C41" s="55">
        <f t="shared" ref="C41:F41" si="68">C18/C$20</f>
        <v>0.031705381</v>
      </c>
      <c r="D41" s="76">
        <f t="shared" si="68"/>
        <v>0.03208195873</v>
      </c>
      <c r="E41" s="76">
        <f t="shared" si="68"/>
        <v>0.03217967607</v>
      </c>
      <c r="F41" s="76">
        <f t="shared" si="68"/>
        <v>0.03271030988</v>
      </c>
      <c r="G41" s="76">
        <f t="shared" si="24"/>
        <v>0.01312026698</v>
      </c>
      <c r="H41" s="76">
        <f t="shared" si="25"/>
        <v>0.01312026698</v>
      </c>
      <c r="I41" s="76">
        <f t="shared" ref="I41:J41" si="69">AC18/AC$20</f>
        <v>0.01318279303</v>
      </c>
      <c r="J41" s="76">
        <f t="shared" si="69"/>
        <v>0.01325997554</v>
      </c>
      <c r="K41" s="76">
        <f t="shared" ref="K41:N41" si="70">C41/G41</f>
        <v>2.4165195</v>
      </c>
      <c r="L41" s="76">
        <f t="shared" si="70"/>
        <v>2.445221487</v>
      </c>
      <c r="M41" s="76">
        <f t="shared" si="70"/>
        <v>2.441036281</v>
      </c>
      <c r="N41" s="76">
        <f t="shared" si="70"/>
        <v>2.466845416</v>
      </c>
      <c r="O41" s="77"/>
      <c r="P41" s="78"/>
      <c r="Q41" s="73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</row>
    <row r="42">
      <c r="A42" s="75">
        <f t="shared" si="28"/>
        <v>17</v>
      </c>
      <c r="B42" s="58" t="s">
        <v>26</v>
      </c>
      <c r="C42" s="55">
        <f t="shared" ref="C42:F42" si="71">C19/C$20</f>
        <v>0.03022789632</v>
      </c>
      <c r="D42" s="76">
        <f t="shared" si="71"/>
        <v>0.030792186</v>
      </c>
      <c r="E42" s="76">
        <f t="shared" si="71"/>
        <v>0.03030320785</v>
      </c>
      <c r="F42" s="76">
        <f t="shared" si="71"/>
        <v>0.0307984278</v>
      </c>
      <c r="G42" s="76">
        <f t="shared" si="24"/>
        <v>0.02425977487</v>
      </c>
      <c r="H42" s="76">
        <f t="shared" si="25"/>
        <v>0.02425977487</v>
      </c>
      <c r="I42" s="76">
        <f t="shared" ref="I42:J42" si="72">AC19/AC$20</f>
        <v>0.02543440069</v>
      </c>
      <c r="J42" s="76">
        <f t="shared" si="72"/>
        <v>0.02615825267</v>
      </c>
      <c r="K42" s="76">
        <f t="shared" ref="K42:N42" si="73">C42/G42</f>
        <v>1.246008938</v>
      </c>
      <c r="L42" s="76">
        <f t="shared" si="73"/>
        <v>1.26926924</v>
      </c>
      <c r="M42" s="76">
        <f t="shared" si="73"/>
        <v>1.191426062</v>
      </c>
      <c r="N42" s="76">
        <f t="shared" si="73"/>
        <v>1.177388574</v>
      </c>
      <c r="O42" s="77"/>
      <c r="P42" s="72"/>
      <c r="Q42" s="79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</row>
    <row r="43">
      <c r="A43" s="82"/>
      <c r="B43" s="83" t="s">
        <v>27</v>
      </c>
      <c r="C43" s="55">
        <f t="shared" ref="C43:J43" si="74">SUM(C26:C42)</f>
        <v>1</v>
      </c>
      <c r="D43" s="55">
        <f t="shared" si="74"/>
        <v>1</v>
      </c>
      <c r="E43" s="55">
        <f t="shared" si="74"/>
        <v>1</v>
      </c>
      <c r="F43" s="55">
        <f t="shared" si="74"/>
        <v>1</v>
      </c>
      <c r="G43" s="55">
        <f t="shared" si="74"/>
        <v>1</v>
      </c>
      <c r="H43" s="55">
        <f t="shared" si="74"/>
        <v>1</v>
      </c>
      <c r="I43" s="55">
        <f t="shared" si="74"/>
        <v>1</v>
      </c>
      <c r="J43" s="55">
        <f t="shared" si="74"/>
        <v>1</v>
      </c>
      <c r="K43" s="84">
        <f t="shared" ref="K43:N43" si="75">C43/G43</f>
        <v>1</v>
      </c>
      <c r="L43" s="84">
        <f t="shared" si="75"/>
        <v>1</v>
      </c>
      <c r="M43" s="84">
        <f t="shared" si="75"/>
        <v>1</v>
      </c>
      <c r="N43" s="84">
        <f t="shared" si="75"/>
        <v>1</v>
      </c>
      <c r="O43" s="56"/>
      <c r="P43" s="73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</row>
    <row r="44">
      <c r="A44" s="63"/>
      <c r="B44" s="64"/>
      <c r="C44" s="65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6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</row>
    <row r="45">
      <c r="A45" s="63"/>
      <c r="B45" s="64"/>
      <c r="C45" s="65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6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  <row r="46">
      <c r="A46" s="85"/>
      <c r="B46" s="86" t="s">
        <v>36</v>
      </c>
      <c r="C46" s="87">
        <v>122.0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6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</row>
    <row r="47">
      <c r="A47" s="85"/>
      <c r="B47" s="86" t="s">
        <v>37</v>
      </c>
      <c r="C47" s="65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6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</row>
    <row r="48">
      <c r="A48" s="85"/>
      <c r="B48" s="86" t="s">
        <v>38</v>
      </c>
      <c r="C48" s="65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6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</row>
    <row r="49">
      <c r="A49" s="63"/>
      <c r="B49" s="64"/>
      <c r="C49" s="65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6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>
      <c r="A50" s="63"/>
      <c r="B50" s="64"/>
      <c r="C50" s="65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6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</row>
    <row r="51">
      <c r="A51" s="63"/>
      <c r="B51" s="64"/>
      <c r="C51" s="65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6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</row>
    <row r="52">
      <c r="A52" s="88"/>
      <c r="B52" s="89"/>
      <c r="C52" s="65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6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</row>
    <row r="53">
      <c r="A53" s="88"/>
      <c r="B53" s="89"/>
      <c r="C53" s="65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6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</row>
    <row r="54">
      <c r="A54" s="88"/>
      <c r="B54" s="89"/>
      <c r="C54" s="65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6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</row>
    <row r="55">
      <c r="A55" s="63"/>
      <c r="B55" s="64"/>
      <c r="C55" s="65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6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</row>
    <row r="56">
      <c r="A56" s="63"/>
      <c r="B56" s="64"/>
      <c r="C56" s="65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6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</row>
    <row r="57">
      <c r="A57" s="63"/>
      <c r="B57" s="64"/>
      <c r="C57" s="65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6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</row>
    <row r="58">
      <c r="A58" s="63"/>
      <c r="B58" s="64"/>
      <c r="C58" s="65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6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</row>
    <row r="59">
      <c r="A59" s="63"/>
      <c r="B59" s="64"/>
      <c r="C59" s="65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6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</row>
    <row r="60">
      <c r="A60" s="63"/>
      <c r="B60" s="64"/>
      <c r="C60" s="65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6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</row>
    <row r="61">
      <c r="A61" s="63"/>
      <c r="B61" s="64"/>
      <c r="C61" s="65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6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</row>
    <row r="62">
      <c r="A62" s="63"/>
      <c r="B62" s="64"/>
      <c r="C62" s="65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6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>
      <c r="A63" s="63"/>
      <c r="B63" s="64"/>
      <c r="C63" s="65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6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</row>
    <row r="64">
      <c r="A64" s="63"/>
      <c r="B64" s="64"/>
      <c r="C64" s="65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6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</row>
    <row r="65">
      <c r="A65" s="63"/>
      <c r="B65" s="64"/>
      <c r="C65" s="65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6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</row>
    <row r="66">
      <c r="A66" s="63"/>
      <c r="B66" s="64"/>
      <c r="C66" s="65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6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</row>
    <row r="67">
      <c r="A67" s="63"/>
      <c r="B67" s="64"/>
      <c r="C67" s="65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6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</row>
    <row r="68">
      <c r="A68" s="63"/>
      <c r="B68" s="64"/>
      <c r="C68" s="65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6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</row>
    <row r="69">
      <c r="A69" s="63"/>
      <c r="B69" s="64"/>
      <c r="C69" s="65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6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</row>
    <row r="70">
      <c r="A70" s="63"/>
      <c r="B70" s="64"/>
      <c r="C70" s="65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6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</row>
    <row r="71">
      <c r="A71" s="63"/>
      <c r="B71" s="64"/>
      <c r="C71" s="65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6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</row>
    <row r="72">
      <c r="A72" s="63"/>
      <c r="B72" s="64"/>
      <c r="C72" s="65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6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</row>
    <row r="73">
      <c r="A73" s="63"/>
      <c r="B73" s="64"/>
      <c r="C73" s="65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6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</row>
    <row r="74">
      <c r="A74" s="63"/>
      <c r="B74" s="64"/>
      <c r="C74" s="65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6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</row>
    <row r="75">
      <c r="A75" s="63"/>
      <c r="B75" s="64"/>
      <c r="C75" s="65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6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>
      <c r="A76" s="63"/>
      <c r="B76" s="64"/>
      <c r="C76" s="65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6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</row>
    <row r="77">
      <c r="A77" s="63"/>
      <c r="B77" s="64"/>
      <c r="C77" s="65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6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</row>
    <row r="78">
      <c r="A78" s="63"/>
      <c r="B78" s="64"/>
      <c r="C78" s="65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6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</row>
    <row r="79">
      <c r="A79" s="63"/>
      <c r="B79" s="64"/>
      <c r="C79" s="65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6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</row>
    <row r="80">
      <c r="A80" s="63"/>
      <c r="B80" s="64"/>
      <c r="C80" s="65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6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</row>
    <row r="81">
      <c r="A81" s="63"/>
      <c r="B81" s="64"/>
      <c r="C81" s="65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6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</row>
    <row r="82">
      <c r="A82" s="63"/>
      <c r="B82" s="64"/>
      <c r="C82" s="65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6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</row>
    <row r="83">
      <c r="A83" s="63"/>
      <c r="B83" s="64"/>
      <c r="C83" s="6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6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</row>
    <row r="84">
      <c r="A84" s="63"/>
      <c r="B84" s="64"/>
      <c r="C84" s="65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6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>
      <c r="A85" s="63"/>
      <c r="B85" s="64"/>
      <c r="C85" s="65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6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</row>
    <row r="86">
      <c r="A86" s="63"/>
      <c r="B86" s="64"/>
      <c r="C86" s="65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6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</row>
    <row r="87">
      <c r="A87" s="63"/>
      <c r="B87" s="64"/>
      <c r="C87" s="65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6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</row>
    <row r="88">
      <c r="A88" s="63"/>
      <c r="B88" s="64"/>
      <c r="C88" s="65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6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</row>
    <row r="89">
      <c r="A89" s="63"/>
      <c r="B89" s="64"/>
      <c r="C89" s="65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6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</row>
    <row r="90">
      <c r="A90" s="63"/>
      <c r="B90" s="64"/>
      <c r="C90" s="65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6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</row>
    <row r="91">
      <c r="A91" s="63"/>
      <c r="B91" s="64"/>
      <c r="C91" s="65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6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</row>
    <row r="92">
      <c r="A92" s="63"/>
      <c r="B92" s="64"/>
      <c r="C92" s="65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6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</row>
    <row r="93">
      <c r="A93" s="63"/>
      <c r="B93" s="64"/>
      <c r="C93" s="65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6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</row>
    <row r="94">
      <c r="A94" s="63"/>
      <c r="B94" s="64"/>
      <c r="C94" s="65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6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</row>
    <row r="95">
      <c r="A95" s="63"/>
      <c r="B95" s="64"/>
      <c r="C95" s="65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6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</row>
    <row r="96">
      <c r="A96" s="63"/>
      <c r="B96" s="64"/>
      <c r="C96" s="65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6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</row>
    <row r="97">
      <c r="A97" s="63"/>
      <c r="B97" s="64"/>
      <c r="C97" s="65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6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</row>
    <row r="98">
      <c r="A98" s="63"/>
      <c r="B98" s="64"/>
      <c r="C98" s="65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6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</row>
    <row r="99">
      <c r="A99" s="63"/>
      <c r="B99" s="64"/>
      <c r="C99" s="65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6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</row>
    <row r="100">
      <c r="A100" s="63"/>
      <c r="B100" s="64"/>
      <c r="C100" s="65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6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</row>
    <row r="101">
      <c r="A101" s="63"/>
      <c r="B101" s="64"/>
      <c r="C101" s="65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6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</row>
    <row r="102">
      <c r="A102" s="63"/>
      <c r="B102" s="64"/>
      <c r="C102" s="65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6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</row>
    <row r="103">
      <c r="A103" s="63"/>
      <c r="B103" s="64"/>
      <c r="C103" s="65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6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</row>
    <row r="104">
      <c r="A104" s="63"/>
      <c r="B104" s="64"/>
      <c r="C104" s="65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6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</row>
    <row r="105">
      <c r="A105" s="63"/>
      <c r="B105" s="64"/>
      <c r="C105" s="65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6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</row>
    <row r="106">
      <c r="A106" s="63"/>
      <c r="B106" s="64"/>
      <c r="C106" s="65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6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</row>
    <row r="107">
      <c r="A107" s="63"/>
      <c r="B107" s="64"/>
      <c r="C107" s="65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6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</row>
    <row r="108">
      <c r="A108" s="63"/>
      <c r="B108" s="64"/>
      <c r="C108" s="65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6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</row>
    <row r="109">
      <c r="A109" s="63"/>
      <c r="B109" s="64"/>
      <c r="C109" s="65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6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</row>
    <row r="110">
      <c r="A110" s="63"/>
      <c r="B110" s="64"/>
      <c r="C110" s="65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6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</row>
    <row r="111">
      <c r="A111" s="63"/>
      <c r="B111" s="64"/>
      <c r="C111" s="65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6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</row>
    <row r="112">
      <c r="A112" s="63"/>
      <c r="B112" s="64"/>
      <c r="C112" s="65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6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</row>
    <row r="113">
      <c r="A113" s="63"/>
      <c r="B113" s="64"/>
      <c r="C113" s="65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6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</row>
    <row r="114">
      <c r="A114" s="63"/>
      <c r="B114" s="64"/>
      <c r="C114" s="65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6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</row>
    <row r="115">
      <c r="A115" s="63"/>
      <c r="B115" s="64"/>
      <c r="C115" s="65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6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</row>
    <row r="116">
      <c r="A116" s="63"/>
      <c r="B116" s="64"/>
      <c r="C116" s="65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6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</row>
    <row r="117">
      <c r="A117" s="63"/>
      <c r="B117" s="64"/>
      <c r="C117" s="65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6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</row>
    <row r="118">
      <c r="A118" s="63"/>
      <c r="B118" s="64"/>
      <c r="C118" s="65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6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</row>
    <row r="119">
      <c r="A119" s="63"/>
      <c r="B119" s="64"/>
      <c r="C119" s="65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6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</row>
    <row r="120">
      <c r="A120" s="63"/>
      <c r="B120" s="64"/>
      <c r="C120" s="65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6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</row>
    <row r="121">
      <c r="A121" s="63"/>
      <c r="B121" s="64"/>
      <c r="C121" s="65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6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</row>
    <row r="122">
      <c r="A122" s="63"/>
      <c r="B122" s="64"/>
      <c r="C122" s="65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6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</row>
    <row r="123">
      <c r="A123" s="63"/>
      <c r="B123" s="64"/>
      <c r="C123" s="65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6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</row>
    <row r="124">
      <c r="A124" s="63"/>
      <c r="B124" s="64"/>
      <c r="C124" s="65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6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</row>
    <row r="125">
      <c r="A125" s="63"/>
      <c r="B125" s="64"/>
      <c r="C125" s="65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6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</row>
    <row r="126">
      <c r="A126" s="63"/>
      <c r="B126" s="64"/>
      <c r="C126" s="65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6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</row>
    <row r="127">
      <c r="A127" s="63"/>
      <c r="B127" s="64"/>
      <c r="C127" s="65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6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</row>
    <row r="128">
      <c r="A128" s="63"/>
      <c r="B128" s="64"/>
      <c r="C128" s="65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6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</row>
    <row r="129">
      <c r="A129" s="63"/>
      <c r="B129" s="64"/>
      <c r="C129" s="65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6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</row>
    <row r="130">
      <c r="A130" s="63"/>
      <c r="B130" s="64"/>
      <c r="C130" s="65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6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</row>
    <row r="131">
      <c r="A131" s="63"/>
      <c r="B131" s="64"/>
      <c r="C131" s="65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6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</row>
    <row r="132">
      <c r="A132" s="63"/>
      <c r="B132" s="64"/>
      <c r="C132" s="65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6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</row>
    <row r="133">
      <c r="A133" s="63"/>
      <c r="B133" s="64"/>
      <c r="C133" s="65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6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</row>
    <row r="134">
      <c r="A134" s="63"/>
      <c r="B134" s="64"/>
      <c r="C134" s="65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6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</row>
    <row r="135">
      <c r="A135" s="63"/>
      <c r="B135" s="64"/>
      <c r="C135" s="65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6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</row>
    <row r="136">
      <c r="A136" s="63"/>
      <c r="B136" s="64"/>
      <c r="C136" s="65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6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</row>
    <row r="137">
      <c r="A137" s="63"/>
      <c r="B137" s="64"/>
      <c r="C137" s="65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6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</row>
    <row r="138">
      <c r="A138" s="63"/>
      <c r="B138" s="64"/>
      <c r="C138" s="65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6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</row>
    <row r="139">
      <c r="A139" s="63"/>
      <c r="B139" s="64"/>
      <c r="C139" s="65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6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</row>
    <row r="140">
      <c r="A140" s="63"/>
      <c r="B140" s="64"/>
      <c r="C140" s="65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6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</row>
    <row r="141">
      <c r="A141" s="63"/>
      <c r="B141" s="64"/>
      <c r="C141" s="65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6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</row>
    <row r="142">
      <c r="A142" s="63"/>
      <c r="B142" s="64"/>
      <c r="C142" s="65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6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</row>
    <row r="143">
      <c r="A143" s="63"/>
      <c r="B143" s="64"/>
      <c r="C143" s="65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6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</row>
    <row r="144">
      <c r="A144" s="63"/>
      <c r="B144" s="64"/>
      <c r="C144" s="65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6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</row>
    <row r="145">
      <c r="A145" s="63"/>
      <c r="B145" s="64"/>
      <c r="C145" s="65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6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</row>
    <row r="146">
      <c r="A146" s="63"/>
      <c r="B146" s="64"/>
      <c r="C146" s="65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6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</row>
    <row r="147">
      <c r="A147" s="63"/>
      <c r="B147" s="64"/>
      <c r="C147" s="65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6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</row>
    <row r="148">
      <c r="A148" s="63"/>
      <c r="B148" s="64"/>
      <c r="C148" s="65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6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</row>
    <row r="149">
      <c r="A149" s="63"/>
      <c r="B149" s="64"/>
      <c r="C149" s="65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6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</row>
    <row r="150">
      <c r="A150" s="63"/>
      <c r="B150" s="64"/>
      <c r="C150" s="65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6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</row>
    <row r="151">
      <c r="A151" s="63"/>
      <c r="B151" s="64"/>
      <c r="C151" s="65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6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</row>
    <row r="152">
      <c r="A152" s="63"/>
      <c r="B152" s="64"/>
      <c r="C152" s="65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6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</row>
    <row r="153">
      <c r="A153" s="63"/>
      <c r="B153" s="64"/>
      <c r="C153" s="65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6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</row>
    <row r="154">
      <c r="A154" s="63"/>
      <c r="B154" s="64"/>
      <c r="C154" s="65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6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</row>
    <row r="155">
      <c r="A155" s="63"/>
      <c r="B155" s="64"/>
      <c r="C155" s="65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6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</row>
    <row r="156">
      <c r="A156" s="63"/>
      <c r="B156" s="64"/>
      <c r="C156" s="65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6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</row>
    <row r="157">
      <c r="A157" s="63"/>
      <c r="B157" s="64"/>
      <c r="C157" s="65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6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</row>
    <row r="158">
      <c r="A158" s="63"/>
      <c r="B158" s="64"/>
      <c r="C158" s="65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6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</row>
    <row r="159">
      <c r="A159" s="63"/>
      <c r="B159" s="64"/>
      <c r="C159" s="65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6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</row>
    <row r="160">
      <c r="A160" s="63"/>
      <c r="B160" s="64"/>
      <c r="C160" s="65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6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</row>
    <row r="161">
      <c r="A161" s="63"/>
      <c r="B161" s="64"/>
      <c r="C161" s="65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6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</row>
    <row r="162">
      <c r="A162" s="63"/>
      <c r="B162" s="64"/>
      <c r="C162" s="65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6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</row>
    <row r="163">
      <c r="A163" s="63"/>
      <c r="B163" s="64"/>
      <c r="C163" s="65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6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</row>
    <row r="164">
      <c r="A164" s="63"/>
      <c r="B164" s="64"/>
      <c r="C164" s="65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6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</row>
    <row r="165">
      <c r="A165" s="63"/>
      <c r="B165" s="64"/>
      <c r="C165" s="65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6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</row>
    <row r="166">
      <c r="A166" s="63"/>
      <c r="B166" s="64"/>
      <c r="C166" s="65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6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</row>
    <row r="167">
      <c r="A167" s="63"/>
      <c r="B167" s="64"/>
      <c r="C167" s="65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6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</row>
    <row r="168">
      <c r="A168" s="63"/>
      <c r="B168" s="64"/>
      <c r="C168" s="65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6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</row>
    <row r="169">
      <c r="A169" s="63"/>
      <c r="B169" s="64"/>
      <c r="C169" s="65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6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</row>
    <row r="170">
      <c r="A170" s="63"/>
      <c r="B170" s="64"/>
      <c r="C170" s="65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6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</row>
    <row r="171">
      <c r="A171" s="63"/>
      <c r="B171" s="64"/>
      <c r="C171" s="65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6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</row>
    <row r="172">
      <c r="A172" s="63"/>
      <c r="B172" s="64"/>
      <c r="C172" s="65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6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</row>
    <row r="173">
      <c r="A173" s="63"/>
      <c r="B173" s="64"/>
      <c r="C173" s="65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6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</row>
    <row r="174">
      <c r="A174" s="63"/>
      <c r="B174" s="64"/>
      <c r="C174" s="65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6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</row>
    <row r="175">
      <c r="A175" s="63"/>
      <c r="B175" s="64"/>
      <c r="C175" s="65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6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</row>
    <row r="176">
      <c r="A176" s="63"/>
      <c r="B176" s="64"/>
      <c r="C176" s="65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6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</row>
    <row r="177">
      <c r="A177" s="63"/>
      <c r="B177" s="64"/>
      <c r="C177" s="65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6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</row>
    <row r="178">
      <c r="A178" s="63"/>
      <c r="B178" s="64"/>
      <c r="C178" s="65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6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</row>
    <row r="179">
      <c r="A179" s="63"/>
      <c r="B179" s="64"/>
      <c r="C179" s="65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6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</row>
    <row r="180">
      <c r="A180" s="63"/>
      <c r="B180" s="64"/>
      <c r="C180" s="65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6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</row>
    <row r="181">
      <c r="A181" s="63"/>
      <c r="B181" s="64"/>
      <c r="C181" s="65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6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</row>
    <row r="182">
      <c r="A182" s="63"/>
      <c r="B182" s="64"/>
      <c r="C182" s="65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6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</row>
    <row r="183">
      <c r="A183" s="63"/>
      <c r="B183" s="64"/>
      <c r="C183" s="65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6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</row>
    <row r="184">
      <c r="A184" s="63"/>
      <c r="B184" s="64"/>
      <c r="C184" s="65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6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</row>
    <row r="185">
      <c r="A185" s="63"/>
      <c r="B185" s="64"/>
      <c r="C185" s="65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6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</row>
    <row r="186">
      <c r="A186" s="63"/>
      <c r="B186" s="64"/>
      <c r="C186" s="65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6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</row>
    <row r="187">
      <c r="A187" s="63"/>
      <c r="B187" s="64"/>
      <c r="C187" s="65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6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</row>
    <row r="188">
      <c r="A188" s="63"/>
      <c r="B188" s="64"/>
      <c r="C188" s="65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6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</row>
    <row r="189">
      <c r="A189" s="63"/>
      <c r="B189" s="64"/>
      <c r="C189" s="65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6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</row>
    <row r="190">
      <c r="A190" s="63"/>
      <c r="B190" s="64"/>
      <c r="C190" s="65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6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</row>
    <row r="191">
      <c r="A191" s="63"/>
      <c r="B191" s="64"/>
      <c r="C191" s="65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6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</row>
    <row r="192">
      <c r="A192" s="63"/>
      <c r="B192" s="64"/>
      <c r="C192" s="65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6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</row>
    <row r="193">
      <c r="A193" s="63"/>
      <c r="B193" s="64"/>
      <c r="C193" s="65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6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</row>
    <row r="194">
      <c r="A194" s="63"/>
      <c r="B194" s="64"/>
      <c r="C194" s="65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6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</row>
    <row r="195">
      <c r="A195" s="63"/>
      <c r="B195" s="64"/>
      <c r="C195" s="65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6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</row>
    <row r="196">
      <c r="A196" s="63"/>
      <c r="B196" s="64"/>
      <c r="C196" s="65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6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</row>
    <row r="197">
      <c r="A197" s="63"/>
      <c r="B197" s="64"/>
      <c r="C197" s="65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6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</row>
    <row r="198">
      <c r="A198" s="63"/>
      <c r="B198" s="64"/>
      <c r="C198" s="65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6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</row>
    <row r="199">
      <c r="A199" s="63"/>
      <c r="B199" s="64"/>
      <c r="C199" s="65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6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</row>
    <row r="200">
      <c r="A200" s="63"/>
      <c r="B200" s="64"/>
      <c r="C200" s="65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6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</row>
    <row r="201">
      <c r="A201" s="63"/>
      <c r="B201" s="64"/>
      <c r="C201" s="65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6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</row>
    <row r="202">
      <c r="A202" s="63"/>
      <c r="B202" s="64"/>
      <c r="C202" s="65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6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</row>
    <row r="203">
      <c r="A203" s="63"/>
      <c r="B203" s="64"/>
      <c r="C203" s="65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6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</row>
    <row r="204">
      <c r="A204" s="63"/>
      <c r="B204" s="64"/>
      <c r="C204" s="65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6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</row>
    <row r="205">
      <c r="A205" s="63"/>
      <c r="B205" s="64"/>
      <c r="C205" s="65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6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</row>
    <row r="206">
      <c r="A206" s="63"/>
      <c r="B206" s="64"/>
      <c r="C206" s="65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6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</row>
    <row r="207">
      <c r="A207" s="63"/>
      <c r="B207" s="64"/>
      <c r="C207" s="65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6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</row>
    <row r="208">
      <c r="A208" s="63"/>
      <c r="B208" s="64"/>
      <c r="C208" s="65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6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</row>
    <row r="209">
      <c r="A209" s="63"/>
      <c r="B209" s="64"/>
      <c r="C209" s="65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6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</row>
    <row r="210">
      <c r="A210" s="63"/>
      <c r="B210" s="64"/>
      <c r="C210" s="65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6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</row>
    <row r="211">
      <c r="A211" s="63"/>
      <c r="B211" s="64"/>
      <c r="C211" s="65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6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</row>
    <row r="212">
      <c r="A212" s="63"/>
      <c r="B212" s="64"/>
      <c r="C212" s="65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6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</row>
    <row r="213">
      <c r="A213" s="63"/>
      <c r="B213" s="64"/>
      <c r="C213" s="65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6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</row>
    <row r="214">
      <c r="A214" s="63"/>
      <c r="B214" s="64"/>
      <c r="C214" s="65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6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</row>
    <row r="215">
      <c r="A215" s="63"/>
      <c r="B215" s="64"/>
      <c r="C215" s="65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6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</row>
    <row r="216">
      <c r="A216" s="63"/>
      <c r="B216" s="64"/>
      <c r="C216" s="65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6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</row>
    <row r="217">
      <c r="A217" s="63"/>
      <c r="B217" s="64"/>
      <c r="C217" s="65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6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</row>
    <row r="218">
      <c r="A218" s="63"/>
      <c r="B218" s="64"/>
      <c r="C218" s="65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6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</row>
    <row r="219">
      <c r="A219" s="63"/>
      <c r="B219" s="64"/>
      <c r="C219" s="65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6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</row>
    <row r="220">
      <c r="A220" s="63"/>
      <c r="B220" s="64"/>
      <c r="C220" s="65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6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</row>
    <row r="221">
      <c r="A221" s="63"/>
      <c r="B221" s="64"/>
      <c r="C221" s="65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6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</row>
    <row r="222">
      <c r="A222" s="63"/>
      <c r="B222" s="64"/>
      <c r="C222" s="65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6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</row>
    <row r="223">
      <c r="A223" s="63"/>
      <c r="B223" s="64"/>
      <c r="C223" s="65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6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</row>
    <row r="224">
      <c r="A224" s="63"/>
      <c r="B224" s="64"/>
      <c r="C224" s="65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6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</row>
    <row r="225">
      <c r="A225" s="63"/>
      <c r="B225" s="64"/>
      <c r="C225" s="65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6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</row>
    <row r="226">
      <c r="A226" s="63"/>
      <c r="B226" s="64"/>
      <c r="C226" s="65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6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</row>
    <row r="227">
      <c r="A227" s="63"/>
      <c r="B227" s="64"/>
      <c r="C227" s="65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6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</row>
    <row r="228">
      <c r="A228" s="63"/>
      <c r="B228" s="64"/>
      <c r="C228" s="65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6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</row>
    <row r="229">
      <c r="A229" s="63"/>
      <c r="B229" s="64"/>
      <c r="C229" s="65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6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</row>
    <row r="230">
      <c r="A230" s="63"/>
      <c r="B230" s="64"/>
      <c r="C230" s="65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6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</row>
    <row r="231">
      <c r="A231" s="63"/>
      <c r="B231" s="64"/>
      <c r="C231" s="65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6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</row>
    <row r="232">
      <c r="A232" s="63"/>
      <c r="B232" s="64"/>
      <c r="C232" s="65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6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</row>
    <row r="233">
      <c r="A233" s="63"/>
      <c r="B233" s="64"/>
      <c r="C233" s="65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6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</row>
    <row r="234">
      <c r="A234" s="63"/>
      <c r="B234" s="64"/>
      <c r="C234" s="65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6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</row>
    <row r="235">
      <c r="A235" s="63"/>
      <c r="B235" s="64"/>
      <c r="C235" s="65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6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</row>
    <row r="236">
      <c r="A236" s="63"/>
      <c r="B236" s="64"/>
      <c r="C236" s="65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6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</row>
    <row r="237">
      <c r="A237" s="63"/>
      <c r="B237" s="64"/>
      <c r="C237" s="65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6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</row>
    <row r="238">
      <c r="A238" s="63"/>
      <c r="B238" s="64"/>
      <c r="C238" s="65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6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</row>
    <row r="239">
      <c r="A239" s="63"/>
      <c r="B239" s="64"/>
      <c r="C239" s="65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6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</row>
    <row r="240">
      <c r="A240" s="63"/>
      <c r="B240" s="64"/>
      <c r="C240" s="65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6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</row>
    <row r="241">
      <c r="A241" s="63"/>
      <c r="B241" s="64"/>
      <c r="C241" s="65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6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</row>
    <row r="242">
      <c r="A242" s="63"/>
      <c r="B242" s="64"/>
      <c r="C242" s="65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6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</row>
    <row r="243">
      <c r="A243" s="63"/>
      <c r="B243" s="64"/>
      <c r="C243" s="65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6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</row>
    <row r="244">
      <c r="A244" s="63"/>
      <c r="B244" s="64"/>
      <c r="C244" s="65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6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</row>
    <row r="245">
      <c r="A245" s="63"/>
      <c r="B245" s="64"/>
      <c r="C245" s="65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6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</row>
    <row r="246">
      <c r="A246" s="63"/>
      <c r="B246" s="64"/>
      <c r="C246" s="65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6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</row>
    <row r="247">
      <c r="A247" s="63"/>
      <c r="B247" s="64"/>
      <c r="C247" s="65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6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</row>
    <row r="248">
      <c r="A248" s="63"/>
      <c r="B248" s="64"/>
      <c r="C248" s="65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6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</row>
    <row r="249">
      <c r="A249" s="63"/>
      <c r="B249" s="64"/>
      <c r="C249" s="65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6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</row>
    <row r="250">
      <c r="A250" s="63"/>
      <c r="B250" s="64"/>
      <c r="C250" s="65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6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</row>
    <row r="251">
      <c r="A251" s="63"/>
      <c r="B251" s="64"/>
      <c r="C251" s="65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6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</row>
    <row r="252">
      <c r="A252" s="63"/>
      <c r="B252" s="64"/>
      <c r="C252" s="65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6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</row>
    <row r="253">
      <c r="A253" s="63"/>
      <c r="B253" s="64"/>
      <c r="C253" s="65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6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</row>
    <row r="254">
      <c r="A254" s="63"/>
      <c r="B254" s="64"/>
      <c r="C254" s="65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6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</row>
    <row r="255">
      <c r="A255" s="63"/>
      <c r="B255" s="64"/>
      <c r="C255" s="65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6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</row>
    <row r="256">
      <c r="A256" s="63"/>
      <c r="B256" s="64"/>
      <c r="C256" s="65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6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</row>
    <row r="257">
      <c r="A257" s="63"/>
      <c r="B257" s="64"/>
      <c r="C257" s="65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6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</row>
    <row r="258">
      <c r="A258" s="63"/>
      <c r="B258" s="64"/>
      <c r="C258" s="65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6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</row>
    <row r="259">
      <c r="A259" s="63"/>
      <c r="B259" s="64"/>
      <c r="C259" s="65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6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</row>
    <row r="260">
      <c r="A260" s="63"/>
      <c r="B260" s="64"/>
      <c r="C260" s="65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6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</row>
    <row r="261">
      <c r="A261" s="63"/>
      <c r="B261" s="64"/>
      <c r="C261" s="65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6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</row>
    <row r="262">
      <c r="A262" s="63"/>
      <c r="B262" s="64"/>
      <c r="C262" s="65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6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</row>
    <row r="263">
      <c r="A263" s="63"/>
      <c r="B263" s="64"/>
      <c r="C263" s="65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6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</row>
    <row r="264">
      <c r="A264" s="63"/>
      <c r="B264" s="64"/>
      <c r="C264" s="65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6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</row>
    <row r="265">
      <c r="A265" s="63"/>
      <c r="B265" s="64"/>
      <c r="C265" s="65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6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</row>
    <row r="266">
      <c r="A266" s="63"/>
      <c r="B266" s="64"/>
      <c r="C266" s="65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6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</row>
    <row r="267">
      <c r="A267" s="63"/>
      <c r="B267" s="64"/>
      <c r="C267" s="65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6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</row>
    <row r="268">
      <c r="A268" s="63"/>
      <c r="B268" s="64"/>
      <c r="C268" s="65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6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</row>
    <row r="269">
      <c r="A269" s="63"/>
      <c r="B269" s="64"/>
      <c r="C269" s="65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6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</row>
    <row r="270">
      <c r="A270" s="63"/>
      <c r="B270" s="64"/>
      <c r="C270" s="65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6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</row>
    <row r="271">
      <c r="A271" s="63"/>
      <c r="B271" s="64"/>
      <c r="C271" s="65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6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</row>
    <row r="272">
      <c r="A272" s="63"/>
      <c r="B272" s="64"/>
      <c r="C272" s="65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6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</row>
    <row r="273">
      <c r="A273" s="63"/>
      <c r="B273" s="64"/>
      <c r="C273" s="65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6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</row>
    <row r="274">
      <c r="A274" s="63"/>
      <c r="B274" s="64"/>
      <c r="C274" s="65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6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</row>
    <row r="275">
      <c r="A275" s="63"/>
      <c r="B275" s="64"/>
      <c r="C275" s="65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6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</row>
    <row r="276">
      <c r="A276" s="63"/>
      <c r="B276" s="64"/>
      <c r="C276" s="65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6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</row>
    <row r="277">
      <c r="A277" s="63"/>
      <c r="B277" s="64"/>
      <c r="C277" s="65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6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</row>
    <row r="278">
      <c r="A278" s="63"/>
      <c r="B278" s="64"/>
      <c r="C278" s="65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6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</row>
    <row r="279">
      <c r="A279" s="63"/>
      <c r="B279" s="64"/>
      <c r="C279" s="65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6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</row>
    <row r="280">
      <c r="A280" s="63"/>
      <c r="B280" s="64"/>
      <c r="C280" s="65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6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</row>
    <row r="281">
      <c r="A281" s="63"/>
      <c r="B281" s="64"/>
      <c r="C281" s="65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6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</row>
    <row r="282">
      <c r="A282" s="63"/>
      <c r="B282" s="64"/>
      <c r="C282" s="65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6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</row>
    <row r="283">
      <c r="A283" s="63"/>
      <c r="B283" s="64"/>
      <c r="C283" s="65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6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</row>
    <row r="284">
      <c r="A284" s="63"/>
      <c r="B284" s="64"/>
      <c r="C284" s="65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6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</row>
    <row r="285">
      <c r="A285" s="63"/>
      <c r="B285" s="64"/>
      <c r="C285" s="65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6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</row>
    <row r="286">
      <c r="A286" s="63"/>
      <c r="B286" s="64"/>
      <c r="C286" s="65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6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</row>
    <row r="287">
      <c r="A287" s="63"/>
      <c r="B287" s="64"/>
      <c r="C287" s="65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6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</row>
    <row r="288">
      <c r="A288" s="63"/>
      <c r="B288" s="64"/>
      <c r="C288" s="65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6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</row>
    <row r="289">
      <c r="A289" s="63"/>
      <c r="B289" s="64"/>
      <c r="C289" s="65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6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</row>
    <row r="290">
      <c r="A290" s="63"/>
      <c r="B290" s="64"/>
      <c r="C290" s="65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6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</row>
    <row r="291">
      <c r="A291" s="63"/>
      <c r="B291" s="64"/>
      <c r="C291" s="65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6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</row>
    <row r="292">
      <c r="A292" s="63"/>
      <c r="B292" s="64"/>
      <c r="C292" s="65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6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</row>
    <row r="293">
      <c r="A293" s="63"/>
      <c r="B293" s="64"/>
      <c r="C293" s="65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6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</row>
    <row r="294">
      <c r="A294" s="63"/>
      <c r="B294" s="64"/>
      <c r="C294" s="65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6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</row>
    <row r="295">
      <c r="A295" s="63"/>
      <c r="B295" s="64"/>
      <c r="C295" s="65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6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</row>
    <row r="296">
      <c r="A296" s="63"/>
      <c r="B296" s="64"/>
      <c r="C296" s="65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6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</row>
    <row r="297">
      <c r="A297" s="63"/>
      <c r="B297" s="64"/>
      <c r="C297" s="65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6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</row>
    <row r="298">
      <c r="A298" s="63"/>
      <c r="B298" s="64"/>
      <c r="C298" s="65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6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</row>
    <row r="299">
      <c r="A299" s="63"/>
      <c r="B299" s="64"/>
      <c r="C299" s="65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6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</row>
    <row r="300">
      <c r="A300" s="63"/>
      <c r="B300" s="64"/>
      <c r="C300" s="65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6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</row>
    <row r="301">
      <c r="A301" s="63"/>
      <c r="B301" s="64"/>
      <c r="C301" s="65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6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</row>
    <row r="302">
      <c r="A302" s="63"/>
      <c r="B302" s="64"/>
      <c r="C302" s="65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6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</row>
    <row r="303">
      <c r="A303" s="63"/>
      <c r="B303" s="64"/>
      <c r="C303" s="65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6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</row>
    <row r="304">
      <c r="A304" s="63"/>
      <c r="B304" s="64"/>
      <c r="C304" s="65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6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</row>
    <row r="305">
      <c r="A305" s="63"/>
      <c r="B305" s="64"/>
      <c r="C305" s="65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6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</row>
    <row r="306">
      <c r="A306" s="63"/>
      <c r="B306" s="64"/>
      <c r="C306" s="65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6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</row>
    <row r="307">
      <c r="A307" s="63"/>
      <c r="B307" s="64"/>
      <c r="C307" s="65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6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</row>
    <row r="308">
      <c r="A308" s="63"/>
      <c r="B308" s="64"/>
      <c r="C308" s="65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6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</row>
    <row r="309">
      <c r="A309" s="63"/>
      <c r="B309" s="64"/>
      <c r="C309" s="65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6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</row>
    <row r="310">
      <c r="A310" s="63"/>
      <c r="B310" s="64"/>
      <c r="C310" s="65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6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</row>
    <row r="311">
      <c r="A311" s="63"/>
      <c r="B311" s="64"/>
      <c r="C311" s="65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6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</row>
    <row r="312">
      <c r="A312" s="63"/>
      <c r="B312" s="64"/>
      <c r="C312" s="65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6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</row>
    <row r="313">
      <c r="A313" s="63"/>
      <c r="B313" s="64"/>
      <c r="C313" s="65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6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</row>
    <row r="314">
      <c r="A314" s="63"/>
      <c r="B314" s="64"/>
      <c r="C314" s="65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6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</row>
    <row r="315">
      <c r="A315" s="63"/>
      <c r="B315" s="64"/>
      <c r="C315" s="65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6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</row>
    <row r="316">
      <c r="A316" s="63"/>
      <c r="B316" s="64"/>
      <c r="C316" s="65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6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</row>
    <row r="317">
      <c r="A317" s="63"/>
      <c r="B317" s="64"/>
      <c r="C317" s="65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6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</row>
    <row r="318">
      <c r="A318" s="63"/>
      <c r="B318" s="64"/>
      <c r="C318" s="65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6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</row>
    <row r="319">
      <c r="A319" s="63"/>
      <c r="B319" s="64"/>
      <c r="C319" s="65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6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</row>
    <row r="320">
      <c r="A320" s="63"/>
      <c r="B320" s="64"/>
      <c r="C320" s="65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6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</row>
    <row r="321">
      <c r="A321" s="63"/>
      <c r="B321" s="64"/>
      <c r="C321" s="65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6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</row>
    <row r="322">
      <c r="A322" s="63"/>
      <c r="B322" s="64"/>
      <c r="C322" s="65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6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</row>
    <row r="323">
      <c r="A323" s="63"/>
      <c r="B323" s="64"/>
      <c r="C323" s="65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6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</row>
    <row r="324">
      <c r="A324" s="63"/>
      <c r="B324" s="64"/>
      <c r="C324" s="65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6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</row>
    <row r="325">
      <c r="A325" s="63"/>
      <c r="B325" s="64"/>
      <c r="C325" s="65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6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</row>
    <row r="326">
      <c r="A326" s="63"/>
      <c r="B326" s="64"/>
      <c r="C326" s="65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6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</row>
    <row r="327">
      <c r="A327" s="63"/>
      <c r="B327" s="64"/>
      <c r="C327" s="65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6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</row>
    <row r="328">
      <c r="A328" s="63"/>
      <c r="B328" s="64"/>
      <c r="C328" s="65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6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</row>
    <row r="329">
      <c r="A329" s="63"/>
      <c r="B329" s="64"/>
      <c r="C329" s="65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6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</row>
    <row r="330">
      <c r="A330" s="63"/>
      <c r="B330" s="64"/>
      <c r="C330" s="65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6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</row>
    <row r="331">
      <c r="A331" s="63"/>
      <c r="B331" s="64"/>
      <c r="C331" s="65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6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</row>
    <row r="332">
      <c r="A332" s="63"/>
      <c r="B332" s="64"/>
      <c r="C332" s="65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6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</row>
    <row r="333">
      <c r="A333" s="63"/>
      <c r="B333" s="64"/>
      <c r="C333" s="65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6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</row>
    <row r="334">
      <c r="A334" s="63"/>
      <c r="B334" s="64"/>
      <c r="C334" s="65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6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</row>
    <row r="335">
      <c r="A335" s="63"/>
      <c r="B335" s="64"/>
      <c r="C335" s="65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6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</row>
    <row r="336">
      <c r="A336" s="63"/>
      <c r="B336" s="64"/>
      <c r="C336" s="65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6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</row>
    <row r="337">
      <c r="A337" s="63"/>
      <c r="B337" s="64"/>
      <c r="C337" s="65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6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</row>
    <row r="338">
      <c r="A338" s="63"/>
      <c r="B338" s="64"/>
      <c r="C338" s="65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6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</row>
    <row r="339">
      <c r="A339" s="63"/>
      <c r="B339" s="64"/>
      <c r="C339" s="65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6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</row>
    <row r="340">
      <c r="A340" s="63"/>
      <c r="B340" s="64"/>
      <c r="C340" s="65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6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</row>
    <row r="341">
      <c r="A341" s="63"/>
      <c r="B341" s="64"/>
      <c r="C341" s="65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6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</row>
    <row r="342">
      <c r="A342" s="63"/>
      <c r="B342" s="64"/>
      <c r="C342" s="65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6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</row>
    <row r="343">
      <c r="A343" s="63"/>
      <c r="B343" s="64"/>
      <c r="C343" s="65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6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</row>
    <row r="344">
      <c r="A344" s="63"/>
      <c r="B344" s="64"/>
      <c r="C344" s="65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6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</row>
    <row r="345">
      <c r="A345" s="63"/>
      <c r="B345" s="64"/>
      <c r="C345" s="65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6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</row>
    <row r="346">
      <c r="A346" s="63"/>
      <c r="B346" s="64"/>
      <c r="C346" s="65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6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</row>
    <row r="347">
      <c r="A347" s="63"/>
      <c r="B347" s="64"/>
      <c r="C347" s="65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6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</row>
    <row r="348">
      <c r="A348" s="63"/>
      <c r="B348" s="64"/>
      <c r="C348" s="65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6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</row>
    <row r="349">
      <c r="A349" s="63"/>
      <c r="B349" s="64"/>
      <c r="C349" s="65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6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</row>
    <row r="350">
      <c r="A350" s="63"/>
      <c r="B350" s="64"/>
      <c r="C350" s="65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6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</row>
    <row r="351">
      <c r="A351" s="63"/>
      <c r="B351" s="64"/>
      <c r="C351" s="65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6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</row>
    <row r="352">
      <c r="A352" s="63"/>
      <c r="B352" s="64"/>
      <c r="C352" s="65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6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</row>
    <row r="353">
      <c r="A353" s="63"/>
      <c r="B353" s="64"/>
      <c r="C353" s="65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6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</row>
    <row r="354">
      <c r="A354" s="63"/>
      <c r="B354" s="64"/>
      <c r="C354" s="65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6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</row>
    <row r="355">
      <c r="A355" s="63"/>
      <c r="B355" s="64"/>
      <c r="C355" s="65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6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</row>
    <row r="356">
      <c r="A356" s="63"/>
      <c r="B356" s="64"/>
      <c r="C356" s="65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6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</row>
    <row r="357">
      <c r="A357" s="63"/>
      <c r="B357" s="64"/>
      <c r="C357" s="65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6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</row>
    <row r="358">
      <c r="A358" s="63"/>
      <c r="B358" s="64"/>
      <c r="C358" s="65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6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</row>
    <row r="359">
      <c r="A359" s="63"/>
      <c r="B359" s="64"/>
      <c r="C359" s="65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6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</row>
    <row r="360">
      <c r="A360" s="63"/>
      <c r="B360" s="64"/>
      <c r="C360" s="65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6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</row>
    <row r="361">
      <c r="A361" s="63"/>
      <c r="B361" s="64"/>
      <c r="C361" s="65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6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</row>
    <row r="362">
      <c r="A362" s="63"/>
      <c r="B362" s="64"/>
      <c r="C362" s="65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6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</row>
    <row r="363">
      <c r="A363" s="63"/>
      <c r="B363" s="64"/>
      <c r="C363" s="65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6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</row>
    <row r="364">
      <c r="A364" s="63"/>
      <c r="B364" s="64"/>
      <c r="C364" s="65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6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</row>
    <row r="365">
      <c r="A365" s="63"/>
      <c r="B365" s="64"/>
      <c r="C365" s="65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6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</row>
    <row r="366">
      <c r="A366" s="63"/>
      <c r="B366" s="64"/>
      <c r="C366" s="65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6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</row>
    <row r="367">
      <c r="A367" s="63"/>
      <c r="B367" s="64"/>
      <c r="C367" s="65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6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</row>
    <row r="368">
      <c r="A368" s="63"/>
      <c r="B368" s="64"/>
      <c r="C368" s="65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6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</row>
    <row r="369">
      <c r="A369" s="63"/>
      <c r="B369" s="64"/>
      <c r="C369" s="65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6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</row>
    <row r="370">
      <c r="A370" s="63"/>
      <c r="B370" s="64"/>
      <c r="C370" s="65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6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</row>
    <row r="371">
      <c r="A371" s="63"/>
      <c r="B371" s="64"/>
      <c r="C371" s="65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6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</row>
    <row r="372">
      <c r="A372" s="63"/>
      <c r="B372" s="64"/>
      <c r="C372" s="65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6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</row>
    <row r="373">
      <c r="A373" s="63"/>
      <c r="B373" s="64"/>
      <c r="C373" s="65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6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</row>
    <row r="374">
      <c r="A374" s="63"/>
      <c r="B374" s="64"/>
      <c r="C374" s="65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6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</row>
    <row r="375">
      <c r="A375" s="63"/>
      <c r="B375" s="64"/>
      <c r="C375" s="65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6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</row>
    <row r="376">
      <c r="A376" s="63"/>
      <c r="B376" s="64"/>
      <c r="C376" s="65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6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</row>
    <row r="377">
      <c r="A377" s="63"/>
      <c r="B377" s="64"/>
      <c r="C377" s="65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6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</row>
    <row r="378">
      <c r="A378" s="63"/>
      <c r="B378" s="64"/>
      <c r="C378" s="65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6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</row>
    <row r="379">
      <c r="A379" s="63"/>
      <c r="B379" s="64"/>
      <c r="C379" s="65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6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</row>
    <row r="380">
      <c r="A380" s="63"/>
      <c r="B380" s="64"/>
      <c r="C380" s="65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6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</row>
    <row r="381">
      <c r="A381" s="63"/>
      <c r="B381" s="64"/>
      <c r="C381" s="65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6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</row>
    <row r="382">
      <c r="A382" s="63"/>
      <c r="B382" s="64"/>
      <c r="C382" s="65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6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</row>
    <row r="383">
      <c r="A383" s="63"/>
      <c r="B383" s="64"/>
      <c r="C383" s="65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6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</row>
    <row r="384">
      <c r="A384" s="63"/>
      <c r="B384" s="64"/>
      <c r="C384" s="65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6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</row>
    <row r="385">
      <c r="A385" s="63"/>
      <c r="B385" s="64"/>
      <c r="C385" s="65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6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</row>
    <row r="386">
      <c r="A386" s="63"/>
      <c r="B386" s="64"/>
      <c r="C386" s="65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6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</row>
    <row r="387">
      <c r="A387" s="63"/>
      <c r="B387" s="64"/>
      <c r="C387" s="65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6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</row>
    <row r="388">
      <c r="A388" s="63"/>
      <c r="B388" s="64"/>
      <c r="C388" s="65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6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</row>
    <row r="389">
      <c r="A389" s="63"/>
      <c r="B389" s="64"/>
      <c r="C389" s="65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6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</row>
    <row r="390">
      <c r="A390" s="63"/>
      <c r="B390" s="64"/>
      <c r="C390" s="65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6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</row>
    <row r="391">
      <c r="A391" s="63"/>
      <c r="B391" s="64"/>
      <c r="C391" s="65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6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</row>
    <row r="392">
      <c r="A392" s="63"/>
      <c r="B392" s="64"/>
      <c r="C392" s="65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6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</row>
    <row r="393">
      <c r="A393" s="63"/>
      <c r="B393" s="64"/>
      <c r="C393" s="65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6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</row>
    <row r="394">
      <c r="A394" s="63"/>
      <c r="B394" s="64"/>
      <c r="C394" s="65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6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</row>
    <row r="395">
      <c r="A395" s="63"/>
      <c r="B395" s="64"/>
      <c r="C395" s="65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6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</row>
    <row r="396">
      <c r="A396" s="63"/>
      <c r="B396" s="64"/>
      <c r="C396" s="65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6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</row>
    <row r="397">
      <c r="A397" s="63"/>
      <c r="B397" s="64"/>
      <c r="C397" s="65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6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</row>
    <row r="398">
      <c r="A398" s="63"/>
      <c r="B398" s="64"/>
      <c r="C398" s="65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6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</row>
    <row r="399">
      <c r="A399" s="63"/>
      <c r="B399" s="64"/>
      <c r="C399" s="65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6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</row>
    <row r="400">
      <c r="A400" s="63"/>
      <c r="B400" s="64"/>
      <c r="C400" s="65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6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</row>
    <row r="401">
      <c r="A401" s="63"/>
      <c r="B401" s="64"/>
      <c r="C401" s="65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6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</row>
    <row r="402">
      <c r="A402" s="63"/>
      <c r="B402" s="64"/>
      <c r="C402" s="65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6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</row>
    <row r="403">
      <c r="A403" s="63"/>
      <c r="B403" s="64"/>
      <c r="C403" s="65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6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</row>
    <row r="404">
      <c r="A404" s="63"/>
      <c r="B404" s="64"/>
      <c r="C404" s="65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6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</row>
    <row r="405">
      <c r="A405" s="63"/>
      <c r="B405" s="64"/>
      <c r="C405" s="65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6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</row>
    <row r="406">
      <c r="A406" s="63"/>
      <c r="B406" s="64"/>
      <c r="C406" s="65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6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</row>
    <row r="407">
      <c r="A407" s="63"/>
      <c r="B407" s="64"/>
      <c r="C407" s="65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6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</row>
    <row r="408">
      <c r="A408" s="63"/>
      <c r="B408" s="64"/>
      <c r="C408" s="65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6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</row>
    <row r="409">
      <c r="A409" s="63"/>
      <c r="B409" s="64"/>
      <c r="C409" s="65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6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</row>
    <row r="410">
      <c r="A410" s="63"/>
      <c r="B410" s="64"/>
      <c r="C410" s="65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6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</row>
    <row r="411">
      <c r="A411" s="63"/>
      <c r="B411" s="64"/>
      <c r="C411" s="65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6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</row>
    <row r="412">
      <c r="A412" s="63"/>
      <c r="B412" s="64"/>
      <c r="C412" s="65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6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</row>
    <row r="413">
      <c r="A413" s="63"/>
      <c r="B413" s="64"/>
      <c r="C413" s="65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6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</row>
    <row r="414">
      <c r="A414" s="63"/>
      <c r="B414" s="64"/>
      <c r="C414" s="65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6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</row>
    <row r="415">
      <c r="A415" s="63"/>
      <c r="B415" s="64"/>
      <c r="C415" s="65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6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</row>
    <row r="416">
      <c r="A416" s="63"/>
      <c r="B416" s="64"/>
      <c r="C416" s="65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6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</row>
    <row r="417">
      <c r="A417" s="63"/>
      <c r="B417" s="64"/>
      <c r="C417" s="65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6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</row>
    <row r="418">
      <c r="A418" s="63"/>
      <c r="B418" s="64"/>
      <c r="C418" s="65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6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</row>
    <row r="419">
      <c r="A419" s="63"/>
      <c r="B419" s="64"/>
      <c r="C419" s="65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6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</row>
    <row r="420">
      <c r="A420" s="63"/>
      <c r="B420" s="64"/>
      <c r="C420" s="65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6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</row>
    <row r="421">
      <c r="A421" s="63"/>
      <c r="B421" s="64"/>
      <c r="C421" s="65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6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</row>
    <row r="422">
      <c r="A422" s="63"/>
      <c r="B422" s="64"/>
      <c r="C422" s="65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6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</row>
    <row r="423">
      <c r="A423" s="63"/>
      <c r="B423" s="64"/>
      <c r="C423" s="65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6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</row>
    <row r="424">
      <c r="A424" s="63"/>
      <c r="B424" s="64"/>
      <c r="C424" s="65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6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</row>
    <row r="425">
      <c r="A425" s="63"/>
      <c r="B425" s="64"/>
      <c r="C425" s="65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6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</row>
    <row r="426">
      <c r="A426" s="63"/>
      <c r="B426" s="64"/>
      <c r="C426" s="65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6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</row>
    <row r="427">
      <c r="A427" s="63"/>
      <c r="B427" s="64"/>
      <c r="C427" s="65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6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</row>
    <row r="428">
      <c r="A428" s="63"/>
      <c r="B428" s="64"/>
      <c r="C428" s="65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6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</row>
    <row r="429">
      <c r="A429" s="63"/>
      <c r="B429" s="64"/>
      <c r="C429" s="65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6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</row>
    <row r="430">
      <c r="A430" s="63"/>
      <c r="B430" s="64"/>
      <c r="C430" s="65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6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</row>
    <row r="431">
      <c r="A431" s="63"/>
      <c r="B431" s="64"/>
      <c r="C431" s="65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6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</row>
    <row r="432">
      <c r="A432" s="63"/>
      <c r="B432" s="64"/>
      <c r="C432" s="65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6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</row>
    <row r="433">
      <c r="A433" s="63"/>
      <c r="B433" s="64"/>
      <c r="C433" s="65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6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</row>
    <row r="434">
      <c r="A434" s="63"/>
      <c r="B434" s="64"/>
      <c r="C434" s="65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6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</row>
    <row r="435">
      <c r="A435" s="63"/>
      <c r="B435" s="64"/>
      <c r="C435" s="65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6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</row>
    <row r="436">
      <c r="A436" s="63"/>
      <c r="B436" s="64"/>
      <c r="C436" s="65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6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</row>
    <row r="437">
      <c r="A437" s="63"/>
      <c r="B437" s="64"/>
      <c r="C437" s="65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6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</row>
    <row r="438">
      <c r="A438" s="63"/>
      <c r="B438" s="64"/>
      <c r="C438" s="65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6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</row>
    <row r="439">
      <c r="A439" s="63"/>
      <c r="B439" s="64"/>
      <c r="C439" s="65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6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</row>
    <row r="440">
      <c r="A440" s="63"/>
      <c r="B440" s="64"/>
      <c r="C440" s="65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6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</row>
    <row r="441">
      <c r="A441" s="63"/>
      <c r="B441" s="64"/>
      <c r="C441" s="65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6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</row>
    <row r="442">
      <c r="A442" s="63"/>
      <c r="B442" s="64"/>
      <c r="C442" s="65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6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</row>
    <row r="443">
      <c r="A443" s="63"/>
      <c r="B443" s="64"/>
      <c r="C443" s="65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6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</row>
    <row r="444">
      <c r="A444" s="63"/>
      <c r="B444" s="64"/>
      <c r="C444" s="65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6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</row>
    <row r="445">
      <c r="A445" s="63"/>
      <c r="B445" s="64"/>
      <c r="C445" s="65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6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</row>
    <row r="446">
      <c r="A446" s="63"/>
      <c r="B446" s="64"/>
      <c r="C446" s="65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6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</row>
    <row r="447">
      <c r="A447" s="63"/>
      <c r="B447" s="64"/>
      <c r="C447" s="65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6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</row>
    <row r="448">
      <c r="A448" s="63"/>
      <c r="B448" s="64"/>
      <c r="C448" s="65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6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</row>
    <row r="449">
      <c r="A449" s="63"/>
      <c r="B449" s="64"/>
      <c r="C449" s="65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6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</row>
    <row r="450">
      <c r="A450" s="63"/>
      <c r="B450" s="64"/>
      <c r="C450" s="65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6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</row>
    <row r="451">
      <c r="A451" s="63"/>
      <c r="B451" s="64"/>
      <c r="C451" s="65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6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</row>
    <row r="452">
      <c r="A452" s="63"/>
      <c r="B452" s="64"/>
      <c r="C452" s="65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6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</row>
    <row r="453">
      <c r="A453" s="63"/>
      <c r="B453" s="64"/>
      <c r="C453" s="65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6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</row>
    <row r="454">
      <c r="A454" s="63"/>
      <c r="B454" s="64"/>
      <c r="C454" s="65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6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</row>
    <row r="455">
      <c r="A455" s="63"/>
      <c r="B455" s="64"/>
      <c r="C455" s="65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6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</row>
    <row r="456">
      <c r="A456" s="63"/>
      <c r="B456" s="64"/>
      <c r="C456" s="65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6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</row>
    <row r="457">
      <c r="A457" s="63"/>
      <c r="B457" s="64"/>
      <c r="C457" s="65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6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</row>
    <row r="458">
      <c r="A458" s="63"/>
      <c r="B458" s="64"/>
      <c r="C458" s="65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6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</row>
    <row r="459">
      <c r="A459" s="63"/>
      <c r="B459" s="64"/>
      <c r="C459" s="65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6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</row>
    <row r="460">
      <c r="A460" s="63"/>
      <c r="B460" s="64"/>
      <c r="C460" s="65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6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</row>
    <row r="461">
      <c r="A461" s="63"/>
      <c r="B461" s="64"/>
      <c r="C461" s="65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6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</row>
    <row r="462">
      <c r="A462" s="63"/>
      <c r="B462" s="64"/>
      <c r="C462" s="65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6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</row>
    <row r="463">
      <c r="A463" s="63"/>
      <c r="B463" s="64"/>
      <c r="C463" s="65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6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</row>
    <row r="464">
      <c r="A464" s="63"/>
      <c r="B464" s="64"/>
      <c r="C464" s="65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6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</row>
    <row r="465">
      <c r="A465" s="63"/>
      <c r="B465" s="64"/>
      <c r="C465" s="65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6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</row>
    <row r="466">
      <c r="A466" s="63"/>
      <c r="B466" s="64"/>
      <c r="C466" s="65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6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</row>
    <row r="467">
      <c r="A467" s="63"/>
      <c r="B467" s="64"/>
      <c r="C467" s="65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6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</row>
    <row r="468">
      <c r="A468" s="63"/>
      <c r="B468" s="64"/>
      <c r="C468" s="65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6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</row>
    <row r="469">
      <c r="A469" s="63"/>
      <c r="B469" s="64"/>
      <c r="C469" s="65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6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</row>
    <row r="470">
      <c r="A470" s="63"/>
      <c r="B470" s="64"/>
      <c r="C470" s="65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6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</row>
    <row r="471">
      <c r="A471" s="63"/>
      <c r="B471" s="64"/>
      <c r="C471" s="65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6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</row>
    <row r="472">
      <c r="A472" s="63"/>
      <c r="B472" s="64"/>
      <c r="C472" s="65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6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</row>
    <row r="473">
      <c r="A473" s="63"/>
      <c r="B473" s="64"/>
      <c r="C473" s="65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6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</row>
    <row r="474">
      <c r="A474" s="63"/>
      <c r="B474" s="64"/>
      <c r="C474" s="65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6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</row>
    <row r="475">
      <c r="A475" s="63"/>
      <c r="B475" s="64"/>
      <c r="C475" s="65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6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</row>
    <row r="476">
      <c r="A476" s="63"/>
      <c r="B476" s="64"/>
      <c r="C476" s="65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6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</row>
    <row r="477">
      <c r="A477" s="63"/>
      <c r="B477" s="64"/>
      <c r="C477" s="65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6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</row>
    <row r="478">
      <c r="A478" s="63"/>
      <c r="B478" s="64"/>
      <c r="C478" s="65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6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</row>
    <row r="479">
      <c r="A479" s="63"/>
      <c r="B479" s="64"/>
      <c r="C479" s="65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6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</row>
    <row r="480">
      <c r="A480" s="63"/>
      <c r="B480" s="64"/>
      <c r="C480" s="65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6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</row>
    <row r="481">
      <c r="A481" s="63"/>
      <c r="B481" s="64"/>
      <c r="C481" s="65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6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</row>
    <row r="482">
      <c r="A482" s="63"/>
      <c r="B482" s="64"/>
      <c r="C482" s="65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6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</row>
    <row r="483">
      <c r="A483" s="63"/>
      <c r="B483" s="64"/>
      <c r="C483" s="65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6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</row>
    <row r="484">
      <c r="A484" s="63"/>
      <c r="B484" s="64"/>
      <c r="C484" s="65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6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</row>
    <row r="485">
      <c r="A485" s="63"/>
      <c r="B485" s="64"/>
      <c r="C485" s="65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6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</row>
    <row r="486">
      <c r="A486" s="63"/>
      <c r="B486" s="64"/>
      <c r="C486" s="65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6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</row>
    <row r="487">
      <c r="A487" s="63"/>
      <c r="B487" s="64"/>
      <c r="C487" s="65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6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</row>
    <row r="488">
      <c r="A488" s="63"/>
      <c r="B488" s="64"/>
      <c r="C488" s="65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6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</row>
    <row r="489">
      <c r="A489" s="63"/>
      <c r="B489" s="64"/>
      <c r="C489" s="65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6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</row>
    <row r="490">
      <c r="A490" s="63"/>
      <c r="B490" s="64"/>
      <c r="C490" s="65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6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</row>
    <row r="491">
      <c r="A491" s="63"/>
      <c r="B491" s="64"/>
      <c r="C491" s="65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6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</row>
    <row r="492">
      <c r="A492" s="63"/>
      <c r="B492" s="64"/>
      <c r="C492" s="65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6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</row>
    <row r="493">
      <c r="A493" s="63"/>
      <c r="B493" s="64"/>
      <c r="C493" s="65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6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</row>
    <row r="494">
      <c r="A494" s="63"/>
      <c r="B494" s="64"/>
      <c r="C494" s="65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6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</row>
    <row r="495">
      <c r="A495" s="63"/>
      <c r="B495" s="64"/>
      <c r="C495" s="65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6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</row>
    <row r="496">
      <c r="A496" s="63"/>
      <c r="B496" s="64"/>
      <c r="C496" s="65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6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</row>
    <row r="497">
      <c r="A497" s="63"/>
      <c r="B497" s="64"/>
      <c r="C497" s="65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6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</row>
    <row r="498">
      <c r="A498" s="63"/>
      <c r="B498" s="64"/>
      <c r="C498" s="65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6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</row>
    <row r="499">
      <c r="A499" s="63"/>
      <c r="B499" s="64"/>
      <c r="C499" s="65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6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</row>
    <row r="500">
      <c r="A500" s="63"/>
      <c r="B500" s="64"/>
      <c r="C500" s="65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6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</row>
    <row r="501">
      <c r="A501" s="63"/>
      <c r="B501" s="64"/>
      <c r="C501" s="65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6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</row>
    <row r="502">
      <c r="A502" s="63"/>
      <c r="B502" s="64"/>
      <c r="C502" s="65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6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</row>
    <row r="503">
      <c r="A503" s="63"/>
      <c r="B503" s="64"/>
      <c r="C503" s="65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6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</row>
    <row r="504">
      <c r="A504" s="63"/>
      <c r="B504" s="64"/>
      <c r="C504" s="65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6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</row>
    <row r="505">
      <c r="A505" s="63"/>
      <c r="B505" s="64"/>
      <c r="C505" s="65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6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</row>
    <row r="506">
      <c r="A506" s="63"/>
      <c r="B506" s="64"/>
      <c r="C506" s="65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6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</row>
    <row r="507">
      <c r="A507" s="63"/>
      <c r="B507" s="64"/>
      <c r="C507" s="65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6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</row>
    <row r="508">
      <c r="A508" s="63"/>
      <c r="B508" s="64"/>
      <c r="C508" s="65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6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</row>
    <row r="509">
      <c r="A509" s="63"/>
      <c r="B509" s="64"/>
      <c r="C509" s="65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6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</row>
    <row r="510">
      <c r="A510" s="63"/>
      <c r="B510" s="64"/>
      <c r="C510" s="65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6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</row>
    <row r="511">
      <c r="A511" s="63"/>
      <c r="B511" s="64"/>
      <c r="C511" s="65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6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</row>
    <row r="512">
      <c r="A512" s="63"/>
      <c r="B512" s="64"/>
      <c r="C512" s="65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6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</row>
    <row r="513">
      <c r="A513" s="63"/>
      <c r="B513" s="64"/>
      <c r="C513" s="65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6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</row>
    <row r="514">
      <c r="A514" s="63"/>
      <c r="B514" s="64"/>
      <c r="C514" s="65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6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</row>
    <row r="515">
      <c r="A515" s="63"/>
      <c r="B515" s="64"/>
      <c r="C515" s="65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6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</row>
    <row r="516">
      <c r="A516" s="63"/>
      <c r="B516" s="64"/>
      <c r="C516" s="65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6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</row>
    <row r="517">
      <c r="A517" s="63"/>
      <c r="B517" s="64"/>
      <c r="C517" s="65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6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</row>
    <row r="518">
      <c r="A518" s="63"/>
      <c r="B518" s="64"/>
      <c r="C518" s="65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6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</row>
    <row r="519">
      <c r="A519" s="63"/>
      <c r="B519" s="64"/>
      <c r="C519" s="65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6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</row>
    <row r="520">
      <c r="A520" s="63"/>
      <c r="B520" s="64"/>
      <c r="C520" s="65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6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</row>
    <row r="521">
      <c r="A521" s="63"/>
      <c r="B521" s="64"/>
      <c r="C521" s="65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6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</row>
    <row r="522">
      <c r="A522" s="63"/>
      <c r="B522" s="64"/>
      <c r="C522" s="65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6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</row>
    <row r="523">
      <c r="A523" s="63"/>
      <c r="B523" s="64"/>
      <c r="C523" s="65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6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</row>
    <row r="524">
      <c r="A524" s="63"/>
      <c r="B524" s="64"/>
      <c r="C524" s="65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6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</row>
    <row r="525">
      <c r="A525" s="63"/>
      <c r="B525" s="64"/>
      <c r="C525" s="65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6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</row>
    <row r="526">
      <c r="A526" s="63"/>
      <c r="B526" s="64"/>
      <c r="C526" s="65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6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</row>
    <row r="527">
      <c r="A527" s="63"/>
      <c r="B527" s="64"/>
      <c r="C527" s="65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6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</row>
    <row r="528">
      <c r="A528" s="63"/>
      <c r="B528" s="64"/>
      <c r="C528" s="65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6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</row>
    <row r="529">
      <c r="A529" s="63"/>
      <c r="B529" s="64"/>
      <c r="C529" s="65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6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</row>
    <row r="530">
      <c r="A530" s="63"/>
      <c r="B530" s="64"/>
      <c r="C530" s="65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6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</row>
    <row r="531">
      <c r="A531" s="63"/>
      <c r="B531" s="64"/>
      <c r="C531" s="65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6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</row>
    <row r="532">
      <c r="A532" s="63"/>
      <c r="B532" s="64"/>
      <c r="C532" s="65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6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</row>
    <row r="533">
      <c r="A533" s="63"/>
      <c r="B533" s="64"/>
      <c r="C533" s="65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6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</row>
    <row r="534">
      <c r="A534" s="63"/>
      <c r="B534" s="64"/>
      <c r="C534" s="65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6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</row>
    <row r="535">
      <c r="A535" s="63"/>
      <c r="B535" s="64"/>
      <c r="C535" s="65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6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</row>
    <row r="536">
      <c r="A536" s="63"/>
      <c r="B536" s="64"/>
      <c r="C536" s="65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6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</row>
    <row r="537">
      <c r="A537" s="63"/>
      <c r="B537" s="64"/>
      <c r="C537" s="65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6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</row>
    <row r="538">
      <c r="A538" s="63"/>
      <c r="B538" s="64"/>
      <c r="C538" s="65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6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</row>
    <row r="539">
      <c r="A539" s="63"/>
      <c r="B539" s="64"/>
      <c r="C539" s="65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6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</row>
    <row r="540">
      <c r="A540" s="63"/>
      <c r="B540" s="64"/>
      <c r="C540" s="65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6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</row>
    <row r="541">
      <c r="A541" s="63"/>
      <c r="B541" s="64"/>
      <c r="C541" s="65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6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</row>
    <row r="542">
      <c r="A542" s="63"/>
      <c r="B542" s="64"/>
      <c r="C542" s="65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6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</row>
    <row r="543">
      <c r="A543" s="63"/>
      <c r="B543" s="64"/>
      <c r="C543" s="65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6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</row>
    <row r="544">
      <c r="A544" s="63"/>
      <c r="B544" s="64"/>
      <c r="C544" s="65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6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</row>
    <row r="545">
      <c r="A545" s="63"/>
      <c r="B545" s="64"/>
      <c r="C545" s="65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6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</row>
    <row r="546">
      <c r="A546" s="63"/>
      <c r="B546" s="64"/>
      <c r="C546" s="65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6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</row>
    <row r="547">
      <c r="A547" s="63"/>
      <c r="B547" s="64"/>
      <c r="C547" s="65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6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</row>
    <row r="548">
      <c r="A548" s="63"/>
      <c r="B548" s="64"/>
      <c r="C548" s="65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6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</row>
    <row r="549">
      <c r="A549" s="63"/>
      <c r="B549" s="64"/>
      <c r="C549" s="65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6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</row>
    <row r="550">
      <c r="A550" s="63"/>
      <c r="B550" s="64"/>
      <c r="C550" s="65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6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</row>
    <row r="551">
      <c r="A551" s="63"/>
      <c r="B551" s="64"/>
      <c r="C551" s="65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6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</row>
    <row r="552">
      <c r="A552" s="63"/>
      <c r="B552" s="64"/>
      <c r="C552" s="65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6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</row>
    <row r="553">
      <c r="A553" s="63"/>
      <c r="B553" s="64"/>
      <c r="C553" s="65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6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</row>
    <row r="554">
      <c r="A554" s="63"/>
      <c r="B554" s="64"/>
      <c r="C554" s="65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6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</row>
    <row r="555">
      <c r="A555" s="63"/>
      <c r="B555" s="64"/>
      <c r="C555" s="65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6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</row>
    <row r="556">
      <c r="A556" s="63"/>
      <c r="B556" s="64"/>
      <c r="C556" s="65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6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</row>
    <row r="557">
      <c r="A557" s="63"/>
      <c r="B557" s="64"/>
      <c r="C557" s="65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6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</row>
    <row r="558">
      <c r="A558" s="63"/>
      <c r="B558" s="64"/>
      <c r="C558" s="65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6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</row>
    <row r="559">
      <c r="A559" s="63"/>
      <c r="B559" s="64"/>
      <c r="C559" s="65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6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</row>
    <row r="560">
      <c r="A560" s="63"/>
      <c r="B560" s="64"/>
      <c r="C560" s="65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6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</row>
    <row r="561">
      <c r="A561" s="63"/>
      <c r="B561" s="64"/>
      <c r="C561" s="65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6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</row>
    <row r="562">
      <c r="A562" s="63"/>
      <c r="B562" s="64"/>
      <c r="C562" s="65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6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</row>
    <row r="563">
      <c r="A563" s="63"/>
      <c r="B563" s="64"/>
      <c r="C563" s="65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6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</row>
    <row r="564">
      <c r="A564" s="63"/>
      <c r="B564" s="64"/>
      <c r="C564" s="65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6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</row>
    <row r="565">
      <c r="A565" s="63"/>
      <c r="B565" s="64"/>
      <c r="C565" s="65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6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</row>
    <row r="566">
      <c r="A566" s="63"/>
      <c r="B566" s="64"/>
      <c r="C566" s="65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6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</row>
    <row r="567">
      <c r="A567" s="63"/>
      <c r="B567" s="64"/>
      <c r="C567" s="65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6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</row>
    <row r="568">
      <c r="A568" s="63"/>
      <c r="B568" s="64"/>
      <c r="C568" s="65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6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</row>
    <row r="569">
      <c r="A569" s="63"/>
      <c r="B569" s="64"/>
      <c r="C569" s="65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6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</row>
    <row r="570">
      <c r="A570" s="63"/>
      <c r="B570" s="64"/>
      <c r="C570" s="65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6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</row>
    <row r="571">
      <c r="A571" s="63"/>
      <c r="B571" s="64"/>
      <c r="C571" s="65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6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</row>
    <row r="572">
      <c r="A572" s="63"/>
      <c r="B572" s="64"/>
      <c r="C572" s="65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6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</row>
    <row r="573">
      <c r="A573" s="63"/>
      <c r="B573" s="64"/>
      <c r="C573" s="65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6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</row>
    <row r="574">
      <c r="A574" s="63"/>
      <c r="B574" s="64"/>
      <c r="C574" s="65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6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</row>
    <row r="575">
      <c r="A575" s="63"/>
      <c r="B575" s="64"/>
      <c r="C575" s="65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6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</row>
    <row r="576">
      <c r="A576" s="63"/>
      <c r="B576" s="64"/>
      <c r="C576" s="65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6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</row>
    <row r="577">
      <c r="A577" s="63"/>
      <c r="B577" s="64"/>
      <c r="C577" s="65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6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</row>
    <row r="578">
      <c r="A578" s="63"/>
      <c r="B578" s="64"/>
      <c r="C578" s="65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6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</row>
    <row r="579">
      <c r="A579" s="63"/>
      <c r="B579" s="64"/>
      <c r="C579" s="65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6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</row>
    <row r="580">
      <c r="A580" s="63"/>
      <c r="B580" s="64"/>
      <c r="C580" s="65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6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</row>
    <row r="581">
      <c r="A581" s="63"/>
      <c r="B581" s="64"/>
      <c r="C581" s="65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6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</row>
    <row r="582">
      <c r="A582" s="63"/>
      <c r="B582" s="64"/>
      <c r="C582" s="65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6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</row>
    <row r="583">
      <c r="A583" s="63"/>
      <c r="B583" s="64"/>
      <c r="C583" s="65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6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</row>
    <row r="584">
      <c r="A584" s="63"/>
      <c r="B584" s="64"/>
      <c r="C584" s="65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6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</row>
    <row r="585">
      <c r="A585" s="63"/>
      <c r="B585" s="64"/>
      <c r="C585" s="65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6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</row>
    <row r="586">
      <c r="A586" s="63"/>
      <c r="B586" s="64"/>
      <c r="C586" s="65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6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</row>
    <row r="587">
      <c r="A587" s="63"/>
      <c r="B587" s="64"/>
      <c r="C587" s="65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6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</row>
    <row r="588">
      <c r="A588" s="63"/>
      <c r="B588" s="64"/>
      <c r="C588" s="65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6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</row>
    <row r="589">
      <c r="A589" s="63"/>
      <c r="B589" s="64"/>
      <c r="C589" s="65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6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</row>
    <row r="590">
      <c r="A590" s="63"/>
      <c r="B590" s="64"/>
      <c r="C590" s="65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6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</row>
    <row r="591">
      <c r="A591" s="63"/>
      <c r="B591" s="64"/>
      <c r="C591" s="65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6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</row>
    <row r="592">
      <c r="A592" s="63"/>
      <c r="B592" s="64"/>
      <c r="C592" s="65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6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</row>
    <row r="593">
      <c r="A593" s="63"/>
      <c r="B593" s="64"/>
      <c r="C593" s="65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6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</row>
    <row r="594">
      <c r="A594" s="63"/>
      <c r="B594" s="64"/>
      <c r="C594" s="65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6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</row>
    <row r="595">
      <c r="A595" s="63"/>
      <c r="B595" s="64"/>
      <c r="C595" s="65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6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</row>
    <row r="596">
      <c r="A596" s="63"/>
      <c r="B596" s="64"/>
      <c r="C596" s="65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6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</row>
    <row r="597">
      <c r="A597" s="63"/>
      <c r="B597" s="64"/>
      <c r="C597" s="65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6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</row>
    <row r="598">
      <c r="A598" s="63"/>
      <c r="B598" s="64"/>
      <c r="C598" s="65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6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</row>
    <row r="599">
      <c r="A599" s="63"/>
      <c r="B599" s="64"/>
      <c r="C599" s="65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6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</row>
    <row r="600">
      <c r="A600" s="63"/>
      <c r="B600" s="64"/>
      <c r="C600" s="65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6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</row>
    <row r="601">
      <c r="A601" s="63"/>
      <c r="B601" s="64"/>
      <c r="C601" s="65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6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</row>
    <row r="602">
      <c r="A602" s="63"/>
      <c r="B602" s="64"/>
      <c r="C602" s="65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6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</row>
    <row r="603">
      <c r="A603" s="63"/>
      <c r="B603" s="64"/>
      <c r="C603" s="65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6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</row>
    <row r="604">
      <c r="A604" s="63"/>
      <c r="B604" s="64"/>
      <c r="C604" s="65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6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</row>
    <row r="605">
      <c r="A605" s="63"/>
      <c r="B605" s="64"/>
      <c r="C605" s="65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6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</row>
    <row r="606">
      <c r="A606" s="63"/>
      <c r="B606" s="64"/>
      <c r="C606" s="65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6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</row>
    <row r="607">
      <c r="A607" s="63"/>
      <c r="B607" s="64"/>
      <c r="C607" s="65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6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</row>
    <row r="608">
      <c r="A608" s="63"/>
      <c r="B608" s="64"/>
      <c r="C608" s="65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6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</row>
    <row r="609">
      <c r="A609" s="63"/>
      <c r="B609" s="64"/>
      <c r="C609" s="65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6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</row>
    <row r="610">
      <c r="A610" s="63"/>
      <c r="B610" s="64"/>
      <c r="C610" s="65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6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</row>
    <row r="611">
      <c r="A611" s="63"/>
      <c r="B611" s="64"/>
      <c r="C611" s="65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6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</row>
    <row r="612">
      <c r="A612" s="63"/>
      <c r="B612" s="64"/>
      <c r="C612" s="65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6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</row>
    <row r="613">
      <c r="A613" s="63"/>
      <c r="B613" s="64"/>
      <c r="C613" s="65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6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</row>
    <row r="614">
      <c r="A614" s="63"/>
      <c r="B614" s="64"/>
      <c r="C614" s="65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6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</row>
    <row r="615">
      <c r="A615" s="63"/>
      <c r="B615" s="64"/>
      <c r="C615" s="65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6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</row>
    <row r="616">
      <c r="A616" s="63"/>
      <c r="B616" s="64"/>
      <c r="C616" s="65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6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</row>
    <row r="617">
      <c r="A617" s="63"/>
      <c r="B617" s="64"/>
      <c r="C617" s="65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6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</row>
    <row r="618">
      <c r="A618" s="63"/>
      <c r="B618" s="64"/>
      <c r="C618" s="65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6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</row>
    <row r="619">
      <c r="A619" s="63"/>
      <c r="B619" s="64"/>
      <c r="C619" s="65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6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</row>
    <row r="620">
      <c r="A620" s="63"/>
      <c r="B620" s="64"/>
      <c r="C620" s="65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6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</row>
    <row r="621">
      <c r="A621" s="63"/>
      <c r="B621" s="64"/>
      <c r="C621" s="65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6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</row>
    <row r="622">
      <c r="A622" s="63"/>
      <c r="B622" s="64"/>
      <c r="C622" s="65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6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</row>
    <row r="623">
      <c r="A623" s="63"/>
      <c r="B623" s="64"/>
      <c r="C623" s="65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6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</row>
    <row r="624">
      <c r="A624" s="63"/>
      <c r="B624" s="64"/>
      <c r="C624" s="65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6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</row>
    <row r="625">
      <c r="A625" s="63"/>
      <c r="B625" s="64"/>
      <c r="C625" s="65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6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</row>
    <row r="626">
      <c r="A626" s="63"/>
      <c r="B626" s="64"/>
      <c r="C626" s="65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6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</row>
    <row r="627">
      <c r="A627" s="63"/>
      <c r="B627" s="64"/>
      <c r="C627" s="65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6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</row>
    <row r="628">
      <c r="A628" s="63"/>
      <c r="B628" s="64"/>
      <c r="C628" s="65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6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</row>
    <row r="629">
      <c r="A629" s="63"/>
      <c r="B629" s="64"/>
      <c r="C629" s="65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6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</row>
    <row r="630">
      <c r="A630" s="63"/>
      <c r="B630" s="64"/>
      <c r="C630" s="65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6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</row>
    <row r="631">
      <c r="A631" s="63"/>
      <c r="B631" s="64"/>
      <c r="C631" s="65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6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</row>
    <row r="632">
      <c r="A632" s="63"/>
      <c r="B632" s="64"/>
      <c r="C632" s="65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6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</row>
    <row r="633">
      <c r="A633" s="63"/>
      <c r="B633" s="64"/>
      <c r="C633" s="65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6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</row>
    <row r="634">
      <c r="A634" s="63"/>
      <c r="B634" s="64"/>
      <c r="C634" s="65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6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</row>
    <row r="635">
      <c r="A635" s="63"/>
      <c r="B635" s="64"/>
      <c r="C635" s="65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6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</row>
    <row r="636">
      <c r="A636" s="63"/>
      <c r="B636" s="64"/>
      <c r="C636" s="65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6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</row>
    <row r="637">
      <c r="A637" s="63"/>
      <c r="B637" s="64"/>
      <c r="C637" s="65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6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</row>
    <row r="638">
      <c r="A638" s="63"/>
      <c r="B638" s="64"/>
      <c r="C638" s="65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6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</row>
    <row r="639">
      <c r="A639" s="63"/>
      <c r="B639" s="64"/>
      <c r="C639" s="65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6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</row>
    <row r="640">
      <c r="A640" s="63"/>
      <c r="B640" s="64"/>
      <c r="C640" s="65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6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</row>
    <row r="641">
      <c r="A641" s="63"/>
      <c r="B641" s="64"/>
      <c r="C641" s="65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6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</row>
    <row r="642">
      <c r="A642" s="63"/>
      <c r="B642" s="64"/>
      <c r="C642" s="65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6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</row>
    <row r="643">
      <c r="A643" s="63"/>
      <c r="B643" s="64"/>
      <c r="C643" s="65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6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</row>
    <row r="644">
      <c r="A644" s="63"/>
      <c r="B644" s="64"/>
      <c r="C644" s="65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6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</row>
    <row r="645">
      <c r="A645" s="63"/>
      <c r="B645" s="64"/>
      <c r="C645" s="65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6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</row>
    <row r="646">
      <c r="A646" s="63"/>
      <c r="B646" s="64"/>
      <c r="C646" s="65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6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</row>
    <row r="647">
      <c r="A647" s="63"/>
      <c r="B647" s="64"/>
      <c r="C647" s="65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6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</row>
    <row r="648">
      <c r="A648" s="63"/>
      <c r="B648" s="64"/>
      <c r="C648" s="65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6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</row>
    <row r="649">
      <c r="A649" s="63"/>
      <c r="B649" s="64"/>
      <c r="C649" s="65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6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</row>
    <row r="650">
      <c r="A650" s="63"/>
      <c r="B650" s="64"/>
      <c r="C650" s="65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6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</row>
    <row r="651">
      <c r="A651" s="63"/>
      <c r="B651" s="64"/>
      <c r="C651" s="65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6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</row>
    <row r="652">
      <c r="A652" s="63"/>
      <c r="B652" s="64"/>
      <c r="C652" s="65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6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</row>
    <row r="653">
      <c r="A653" s="63"/>
      <c r="B653" s="64"/>
      <c r="C653" s="65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6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</row>
    <row r="654">
      <c r="A654" s="63"/>
      <c r="B654" s="64"/>
      <c r="C654" s="65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6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</row>
    <row r="655">
      <c r="A655" s="63"/>
      <c r="B655" s="64"/>
      <c r="C655" s="65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6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</row>
    <row r="656">
      <c r="A656" s="63"/>
      <c r="B656" s="64"/>
      <c r="C656" s="65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6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</row>
    <row r="657">
      <c r="A657" s="63"/>
      <c r="B657" s="64"/>
      <c r="C657" s="65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6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</row>
    <row r="658">
      <c r="A658" s="63"/>
      <c r="B658" s="64"/>
      <c r="C658" s="65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6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</row>
    <row r="659">
      <c r="A659" s="63"/>
      <c r="B659" s="64"/>
      <c r="C659" s="65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6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</row>
    <row r="660">
      <c r="A660" s="63"/>
      <c r="B660" s="64"/>
      <c r="C660" s="65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6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</row>
    <row r="661">
      <c r="A661" s="63"/>
      <c r="B661" s="64"/>
      <c r="C661" s="65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6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</row>
    <row r="662">
      <c r="A662" s="63"/>
      <c r="B662" s="64"/>
      <c r="C662" s="65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6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</row>
    <row r="663">
      <c r="A663" s="63"/>
      <c r="B663" s="64"/>
      <c r="C663" s="65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6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</row>
    <row r="664">
      <c r="A664" s="63"/>
      <c r="B664" s="64"/>
      <c r="C664" s="65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6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</row>
    <row r="665">
      <c r="A665" s="63"/>
      <c r="B665" s="64"/>
      <c r="C665" s="65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6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</row>
    <row r="666">
      <c r="A666" s="63"/>
      <c r="B666" s="64"/>
      <c r="C666" s="65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6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</row>
    <row r="667">
      <c r="A667" s="63"/>
      <c r="B667" s="64"/>
      <c r="C667" s="65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6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</row>
    <row r="668">
      <c r="A668" s="63"/>
      <c r="B668" s="64"/>
      <c r="C668" s="65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6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</row>
    <row r="669">
      <c r="A669" s="63"/>
      <c r="B669" s="64"/>
      <c r="C669" s="65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6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</row>
    <row r="670">
      <c r="A670" s="63"/>
      <c r="B670" s="64"/>
      <c r="C670" s="65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6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</row>
    <row r="671">
      <c r="A671" s="63"/>
      <c r="B671" s="64"/>
      <c r="C671" s="65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6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</row>
    <row r="672">
      <c r="A672" s="63"/>
      <c r="B672" s="64"/>
      <c r="C672" s="65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6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</row>
    <row r="673">
      <c r="A673" s="63"/>
      <c r="B673" s="64"/>
      <c r="C673" s="65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6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</row>
    <row r="674">
      <c r="A674" s="63"/>
      <c r="B674" s="64"/>
      <c r="C674" s="65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6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</row>
    <row r="675">
      <c r="A675" s="63"/>
      <c r="B675" s="64"/>
      <c r="C675" s="65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6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</row>
    <row r="676">
      <c r="A676" s="63"/>
      <c r="B676" s="64"/>
      <c r="C676" s="65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6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</row>
    <row r="677">
      <c r="A677" s="63"/>
      <c r="B677" s="64"/>
      <c r="C677" s="65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6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</row>
    <row r="678">
      <c r="A678" s="63"/>
      <c r="B678" s="64"/>
      <c r="C678" s="65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6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</row>
    <row r="679">
      <c r="A679" s="63"/>
      <c r="B679" s="64"/>
      <c r="C679" s="65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6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</row>
    <row r="680">
      <c r="A680" s="63"/>
      <c r="B680" s="64"/>
      <c r="C680" s="65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6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</row>
    <row r="681">
      <c r="A681" s="63"/>
      <c r="B681" s="64"/>
      <c r="C681" s="65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6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</row>
    <row r="682">
      <c r="A682" s="63"/>
      <c r="B682" s="64"/>
      <c r="C682" s="65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6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</row>
    <row r="683">
      <c r="A683" s="63"/>
      <c r="B683" s="64"/>
      <c r="C683" s="65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6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</row>
    <row r="684">
      <c r="A684" s="63"/>
      <c r="B684" s="64"/>
      <c r="C684" s="65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6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</row>
    <row r="685">
      <c r="A685" s="63"/>
      <c r="B685" s="64"/>
      <c r="C685" s="65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6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</row>
    <row r="686">
      <c r="A686" s="63"/>
      <c r="B686" s="64"/>
      <c r="C686" s="65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6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</row>
    <row r="687">
      <c r="A687" s="63"/>
      <c r="B687" s="64"/>
      <c r="C687" s="65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6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</row>
    <row r="688">
      <c r="A688" s="63"/>
      <c r="B688" s="64"/>
      <c r="C688" s="65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6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</row>
    <row r="689">
      <c r="A689" s="63"/>
      <c r="B689" s="64"/>
      <c r="C689" s="65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6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</row>
    <row r="690">
      <c r="A690" s="63"/>
      <c r="B690" s="64"/>
      <c r="C690" s="65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6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</row>
    <row r="691">
      <c r="A691" s="63"/>
      <c r="B691" s="64"/>
      <c r="C691" s="65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6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</row>
    <row r="692">
      <c r="A692" s="63"/>
      <c r="B692" s="64"/>
      <c r="C692" s="65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6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</row>
    <row r="693">
      <c r="A693" s="63"/>
      <c r="B693" s="64"/>
      <c r="C693" s="65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6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</row>
    <row r="694">
      <c r="A694" s="63"/>
      <c r="B694" s="64"/>
      <c r="C694" s="65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6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</row>
    <row r="695">
      <c r="A695" s="63"/>
      <c r="B695" s="64"/>
      <c r="C695" s="65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6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</row>
    <row r="696">
      <c r="A696" s="63"/>
      <c r="B696" s="64"/>
      <c r="C696" s="65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6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</row>
    <row r="697">
      <c r="A697" s="63"/>
      <c r="B697" s="64"/>
      <c r="C697" s="65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6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</row>
    <row r="698">
      <c r="A698" s="63"/>
      <c r="B698" s="64"/>
      <c r="C698" s="65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6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</row>
    <row r="699">
      <c r="A699" s="63"/>
      <c r="B699" s="64"/>
      <c r="C699" s="65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6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</row>
    <row r="700">
      <c r="A700" s="63"/>
      <c r="B700" s="64"/>
      <c r="C700" s="65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6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</row>
    <row r="701">
      <c r="A701" s="63"/>
      <c r="B701" s="64"/>
      <c r="C701" s="65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6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</row>
    <row r="702">
      <c r="A702" s="63"/>
      <c r="B702" s="64"/>
      <c r="C702" s="65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6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</row>
    <row r="703">
      <c r="A703" s="63"/>
      <c r="B703" s="64"/>
      <c r="C703" s="65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6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</row>
    <row r="704">
      <c r="A704" s="63"/>
      <c r="B704" s="64"/>
      <c r="C704" s="65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6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</row>
    <row r="705">
      <c r="A705" s="63"/>
      <c r="B705" s="64"/>
      <c r="C705" s="65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6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</row>
    <row r="706">
      <c r="A706" s="63"/>
      <c r="B706" s="64"/>
      <c r="C706" s="65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6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</row>
    <row r="707">
      <c r="A707" s="63"/>
      <c r="B707" s="64"/>
      <c r="C707" s="65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6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</row>
    <row r="708">
      <c r="A708" s="63"/>
      <c r="B708" s="64"/>
      <c r="C708" s="65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6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</row>
    <row r="709">
      <c r="A709" s="63"/>
      <c r="B709" s="64"/>
      <c r="C709" s="65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6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</row>
    <row r="710">
      <c r="A710" s="63"/>
      <c r="B710" s="64"/>
      <c r="C710" s="65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6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</row>
    <row r="711">
      <c r="A711" s="63"/>
      <c r="B711" s="64"/>
      <c r="C711" s="65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6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</row>
    <row r="712">
      <c r="A712" s="63"/>
      <c r="B712" s="64"/>
      <c r="C712" s="65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6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</row>
    <row r="713">
      <c r="A713" s="63"/>
      <c r="B713" s="64"/>
      <c r="C713" s="65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6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</row>
    <row r="714">
      <c r="A714" s="63"/>
      <c r="B714" s="64"/>
      <c r="C714" s="65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6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</row>
    <row r="715">
      <c r="A715" s="63"/>
      <c r="B715" s="64"/>
      <c r="C715" s="65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6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</row>
    <row r="716">
      <c r="A716" s="63"/>
      <c r="B716" s="64"/>
      <c r="C716" s="65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6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</row>
    <row r="717">
      <c r="A717" s="63"/>
      <c r="B717" s="64"/>
      <c r="C717" s="65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6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</row>
    <row r="718">
      <c r="A718" s="63"/>
      <c r="B718" s="64"/>
      <c r="C718" s="65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6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</row>
    <row r="719">
      <c r="A719" s="63"/>
      <c r="B719" s="64"/>
      <c r="C719" s="65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6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</row>
    <row r="720">
      <c r="A720" s="63"/>
      <c r="B720" s="64"/>
      <c r="C720" s="65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6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</row>
    <row r="721">
      <c r="A721" s="63"/>
      <c r="B721" s="64"/>
      <c r="C721" s="65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6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</row>
    <row r="722">
      <c r="A722" s="63"/>
      <c r="B722" s="64"/>
      <c r="C722" s="65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6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</row>
    <row r="723">
      <c r="A723" s="63"/>
      <c r="B723" s="64"/>
      <c r="C723" s="65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6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</row>
    <row r="724">
      <c r="A724" s="63"/>
      <c r="B724" s="64"/>
      <c r="C724" s="65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6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</row>
    <row r="725">
      <c r="A725" s="63"/>
      <c r="B725" s="64"/>
      <c r="C725" s="65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6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</row>
    <row r="726">
      <c r="A726" s="63"/>
      <c r="B726" s="64"/>
      <c r="C726" s="65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6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</row>
    <row r="727">
      <c r="A727" s="63"/>
      <c r="B727" s="64"/>
      <c r="C727" s="65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6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</row>
    <row r="728">
      <c r="A728" s="63"/>
      <c r="B728" s="64"/>
      <c r="C728" s="65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6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</row>
    <row r="729">
      <c r="A729" s="63"/>
      <c r="B729" s="64"/>
      <c r="C729" s="65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6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</row>
    <row r="730">
      <c r="A730" s="63"/>
      <c r="B730" s="64"/>
      <c r="C730" s="65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6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</row>
    <row r="731">
      <c r="A731" s="63"/>
      <c r="B731" s="64"/>
      <c r="C731" s="65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6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</row>
    <row r="732">
      <c r="A732" s="63"/>
      <c r="B732" s="64"/>
      <c r="C732" s="65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6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</row>
    <row r="733">
      <c r="A733" s="63"/>
      <c r="B733" s="64"/>
      <c r="C733" s="65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6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</row>
    <row r="734">
      <c r="A734" s="63"/>
      <c r="B734" s="64"/>
      <c r="C734" s="65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6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</row>
    <row r="735">
      <c r="A735" s="63"/>
      <c r="B735" s="64"/>
      <c r="C735" s="65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6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</row>
    <row r="736">
      <c r="A736" s="63"/>
      <c r="B736" s="64"/>
      <c r="C736" s="65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6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</row>
    <row r="737">
      <c r="A737" s="63"/>
      <c r="B737" s="64"/>
      <c r="C737" s="65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6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</row>
    <row r="738">
      <c r="A738" s="63"/>
      <c r="B738" s="64"/>
      <c r="C738" s="65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6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</row>
    <row r="739">
      <c r="A739" s="63"/>
      <c r="B739" s="64"/>
      <c r="C739" s="65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6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</row>
    <row r="740">
      <c r="A740" s="63"/>
      <c r="B740" s="64"/>
      <c r="C740" s="65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6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</row>
    <row r="741">
      <c r="A741" s="63"/>
      <c r="B741" s="64"/>
      <c r="C741" s="65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6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</row>
    <row r="742">
      <c r="A742" s="63"/>
      <c r="B742" s="64"/>
      <c r="C742" s="65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6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</row>
    <row r="743">
      <c r="A743" s="63"/>
      <c r="B743" s="64"/>
      <c r="C743" s="65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6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</row>
    <row r="744">
      <c r="A744" s="63"/>
      <c r="B744" s="64"/>
      <c r="C744" s="65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6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</row>
    <row r="745">
      <c r="A745" s="63"/>
      <c r="B745" s="64"/>
      <c r="C745" s="65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6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</row>
    <row r="746">
      <c r="A746" s="63"/>
      <c r="B746" s="64"/>
      <c r="C746" s="65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6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</row>
    <row r="747">
      <c r="A747" s="63"/>
      <c r="B747" s="64"/>
      <c r="C747" s="65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6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</row>
    <row r="748">
      <c r="A748" s="63"/>
      <c r="B748" s="64"/>
      <c r="C748" s="65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6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</row>
    <row r="749">
      <c r="A749" s="63"/>
      <c r="B749" s="64"/>
      <c r="C749" s="65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6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</row>
    <row r="750">
      <c r="A750" s="63"/>
      <c r="B750" s="64"/>
      <c r="C750" s="65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6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</row>
    <row r="751">
      <c r="A751" s="63"/>
      <c r="B751" s="64"/>
      <c r="C751" s="65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6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</row>
    <row r="752">
      <c r="A752" s="63"/>
      <c r="B752" s="64"/>
      <c r="C752" s="65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6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</row>
    <row r="753">
      <c r="A753" s="63"/>
      <c r="B753" s="64"/>
      <c r="C753" s="65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6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</row>
    <row r="754">
      <c r="A754" s="63"/>
      <c r="B754" s="64"/>
      <c r="C754" s="65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6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</row>
    <row r="755">
      <c r="A755" s="63"/>
      <c r="B755" s="64"/>
      <c r="C755" s="65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6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</row>
    <row r="756">
      <c r="A756" s="63"/>
      <c r="B756" s="64"/>
      <c r="C756" s="65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6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</row>
    <row r="757">
      <c r="A757" s="63"/>
      <c r="B757" s="64"/>
      <c r="C757" s="65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6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</row>
    <row r="758">
      <c r="A758" s="63"/>
      <c r="B758" s="64"/>
      <c r="C758" s="65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6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</row>
    <row r="759">
      <c r="A759" s="63"/>
      <c r="B759" s="64"/>
      <c r="C759" s="65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6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</row>
    <row r="760">
      <c r="A760" s="63"/>
      <c r="B760" s="64"/>
      <c r="C760" s="65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6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</row>
    <row r="761">
      <c r="A761" s="63"/>
      <c r="B761" s="64"/>
      <c r="C761" s="65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6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</row>
    <row r="762">
      <c r="A762" s="63"/>
      <c r="B762" s="64"/>
      <c r="C762" s="65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6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</row>
    <row r="763">
      <c r="A763" s="63"/>
      <c r="B763" s="64"/>
      <c r="C763" s="65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6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</row>
    <row r="764">
      <c r="A764" s="63"/>
      <c r="B764" s="64"/>
      <c r="C764" s="65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6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</row>
    <row r="765">
      <c r="A765" s="63"/>
      <c r="B765" s="64"/>
      <c r="C765" s="65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6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</row>
    <row r="766">
      <c r="A766" s="63"/>
      <c r="B766" s="64"/>
      <c r="C766" s="65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6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</row>
    <row r="767">
      <c r="A767" s="63"/>
      <c r="B767" s="64"/>
      <c r="C767" s="65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6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</row>
    <row r="768">
      <c r="A768" s="63"/>
      <c r="B768" s="64"/>
      <c r="C768" s="65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6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</row>
    <row r="769">
      <c r="A769" s="63"/>
      <c r="B769" s="64"/>
      <c r="C769" s="65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6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</row>
    <row r="770">
      <c r="A770" s="63"/>
      <c r="B770" s="64"/>
      <c r="C770" s="65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6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</row>
    <row r="771">
      <c r="A771" s="63"/>
      <c r="B771" s="64"/>
      <c r="C771" s="65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6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</row>
    <row r="772">
      <c r="A772" s="63"/>
      <c r="B772" s="64"/>
      <c r="C772" s="65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6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</row>
    <row r="773">
      <c r="A773" s="63"/>
      <c r="B773" s="64"/>
      <c r="C773" s="65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6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</row>
    <row r="774">
      <c r="A774" s="63"/>
      <c r="B774" s="64"/>
      <c r="C774" s="65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6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</row>
    <row r="775">
      <c r="A775" s="63"/>
      <c r="B775" s="64"/>
      <c r="C775" s="65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6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</row>
    <row r="776">
      <c r="A776" s="63"/>
      <c r="B776" s="64"/>
      <c r="C776" s="65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6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</row>
    <row r="777">
      <c r="A777" s="63"/>
      <c r="B777" s="64"/>
      <c r="C777" s="65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6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</row>
    <row r="778">
      <c r="A778" s="63"/>
      <c r="B778" s="64"/>
      <c r="C778" s="65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6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</row>
    <row r="779">
      <c r="A779" s="63"/>
      <c r="B779" s="64"/>
      <c r="C779" s="65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6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</row>
    <row r="780">
      <c r="A780" s="63"/>
      <c r="B780" s="64"/>
      <c r="C780" s="65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6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</row>
    <row r="781">
      <c r="A781" s="63"/>
      <c r="B781" s="64"/>
      <c r="C781" s="65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6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</row>
    <row r="782">
      <c r="A782" s="63"/>
      <c r="B782" s="64"/>
      <c r="C782" s="65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6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</row>
    <row r="783">
      <c r="A783" s="63"/>
      <c r="B783" s="64"/>
      <c r="C783" s="65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6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</row>
    <row r="784">
      <c r="A784" s="63"/>
      <c r="B784" s="64"/>
      <c r="C784" s="65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6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</row>
    <row r="785">
      <c r="A785" s="63"/>
      <c r="B785" s="64"/>
      <c r="C785" s="65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6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</row>
    <row r="786">
      <c r="A786" s="63"/>
      <c r="B786" s="64"/>
      <c r="C786" s="65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6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</row>
    <row r="787">
      <c r="A787" s="63"/>
      <c r="B787" s="64"/>
      <c r="C787" s="65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6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</row>
    <row r="788">
      <c r="A788" s="63"/>
      <c r="B788" s="64"/>
      <c r="C788" s="65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6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</row>
    <row r="789">
      <c r="A789" s="63"/>
      <c r="B789" s="64"/>
      <c r="C789" s="65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6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</row>
    <row r="790">
      <c r="A790" s="63"/>
      <c r="B790" s="64"/>
      <c r="C790" s="65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6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</row>
    <row r="791">
      <c r="A791" s="63"/>
      <c r="B791" s="64"/>
      <c r="C791" s="65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6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</row>
    <row r="792">
      <c r="A792" s="63"/>
      <c r="B792" s="64"/>
      <c r="C792" s="65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6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</row>
    <row r="793">
      <c r="A793" s="63"/>
      <c r="B793" s="64"/>
      <c r="C793" s="65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6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</row>
    <row r="794">
      <c r="A794" s="63"/>
      <c r="B794" s="64"/>
      <c r="C794" s="65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6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</row>
    <row r="795">
      <c r="A795" s="63"/>
      <c r="B795" s="64"/>
      <c r="C795" s="65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6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</row>
    <row r="796">
      <c r="A796" s="63"/>
      <c r="B796" s="64"/>
      <c r="C796" s="65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6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</row>
    <row r="797">
      <c r="A797" s="63"/>
      <c r="B797" s="64"/>
      <c r="C797" s="65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6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</row>
    <row r="798">
      <c r="A798" s="63"/>
      <c r="B798" s="64"/>
      <c r="C798" s="65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6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</row>
    <row r="799">
      <c r="A799" s="63"/>
      <c r="B799" s="64"/>
      <c r="C799" s="65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6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</row>
    <row r="800">
      <c r="A800" s="63"/>
      <c r="B800" s="64"/>
      <c r="C800" s="65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6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</row>
    <row r="801">
      <c r="A801" s="63"/>
      <c r="B801" s="64"/>
      <c r="C801" s="65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6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</row>
    <row r="802">
      <c r="A802" s="63"/>
      <c r="B802" s="64"/>
      <c r="C802" s="65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6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</row>
    <row r="803">
      <c r="A803" s="63"/>
      <c r="B803" s="64"/>
      <c r="C803" s="65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6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</row>
    <row r="804">
      <c r="A804" s="63"/>
      <c r="B804" s="64"/>
      <c r="C804" s="65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6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</row>
    <row r="805">
      <c r="A805" s="63"/>
      <c r="B805" s="64"/>
      <c r="C805" s="65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6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</row>
    <row r="806">
      <c r="A806" s="63"/>
      <c r="B806" s="64"/>
      <c r="C806" s="65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6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</row>
    <row r="807">
      <c r="A807" s="63"/>
      <c r="B807" s="64"/>
      <c r="C807" s="65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6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</row>
    <row r="808">
      <c r="A808" s="63"/>
      <c r="B808" s="64"/>
      <c r="C808" s="65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6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</row>
    <row r="809">
      <c r="A809" s="63"/>
      <c r="B809" s="64"/>
      <c r="C809" s="65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6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</row>
    <row r="810">
      <c r="A810" s="63"/>
      <c r="B810" s="64"/>
      <c r="C810" s="65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6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</row>
    <row r="811">
      <c r="A811" s="63"/>
      <c r="B811" s="64"/>
      <c r="C811" s="65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6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</row>
    <row r="812">
      <c r="A812" s="63"/>
      <c r="B812" s="64"/>
      <c r="C812" s="65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6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</row>
    <row r="813">
      <c r="A813" s="63"/>
      <c r="B813" s="64"/>
      <c r="C813" s="65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6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</row>
    <row r="814">
      <c r="A814" s="63"/>
      <c r="B814" s="64"/>
      <c r="C814" s="65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6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</row>
    <row r="815">
      <c r="A815" s="63"/>
      <c r="B815" s="64"/>
      <c r="C815" s="65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6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</row>
    <row r="816">
      <c r="A816" s="63"/>
      <c r="B816" s="64"/>
      <c r="C816" s="65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6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</row>
    <row r="817">
      <c r="A817" s="63"/>
      <c r="B817" s="64"/>
      <c r="C817" s="65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6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</row>
    <row r="818">
      <c r="A818" s="63"/>
      <c r="B818" s="64"/>
      <c r="C818" s="65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6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</row>
    <row r="819">
      <c r="A819" s="63"/>
      <c r="B819" s="64"/>
      <c r="C819" s="65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6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</row>
    <row r="820">
      <c r="A820" s="63"/>
      <c r="B820" s="64"/>
      <c r="C820" s="65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6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</row>
    <row r="821">
      <c r="A821" s="63"/>
      <c r="B821" s="64"/>
      <c r="C821" s="65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6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</row>
    <row r="822">
      <c r="A822" s="63"/>
      <c r="B822" s="64"/>
      <c r="C822" s="65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6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</row>
    <row r="823">
      <c r="A823" s="63"/>
      <c r="B823" s="64"/>
      <c r="C823" s="65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6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</row>
    <row r="824">
      <c r="A824" s="63"/>
      <c r="B824" s="64"/>
      <c r="C824" s="65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6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</row>
    <row r="825">
      <c r="A825" s="63"/>
      <c r="B825" s="64"/>
      <c r="C825" s="65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6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</row>
    <row r="826">
      <c r="A826" s="63"/>
      <c r="B826" s="64"/>
      <c r="C826" s="65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6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</row>
    <row r="827">
      <c r="A827" s="63"/>
      <c r="B827" s="64"/>
      <c r="C827" s="65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6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</row>
    <row r="828">
      <c r="A828" s="63"/>
      <c r="B828" s="64"/>
      <c r="C828" s="65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6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</row>
    <row r="829">
      <c r="A829" s="63"/>
      <c r="B829" s="64"/>
      <c r="C829" s="65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6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</row>
    <row r="830">
      <c r="A830" s="63"/>
      <c r="B830" s="64"/>
      <c r="C830" s="65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6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</row>
    <row r="831">
      <c r="A831" s="63"/>
      <c r="B831" s="64"/>
      <c r="C831" s="65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6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</row>
    <row r="832">
      <c r="A832" s="63"/>
      <c r="B832" s="64"/>
      <c r="C832" s="65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6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</row>
    <row r="833">
      <c r="A833" s="63"/>
      <c r="B833" s="64"/>
      <c r="C833" s="65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6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</row>
    <row r="834">
      <c r="A834" s="63"/>
      <c r="B834" s="64"/>
      <c r="C834" s="65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6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</row>
    <row r="835">
      <c r="A835" s="63"/>
      <c r="B835" s="64"/>
      <c r="C835" s="65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6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</row>
    <row r="836">
      <c r="A836" s="63"/>
      <c r="B836" s="64"/>
      <c r="C836" s="65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6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</row>
    <row r="837">
      <c r="A837" s="63"/>
      <c r="B837" s="64"/>
      <c r="C837" s="65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6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</row>
    <row r="838">
      <c r="A838" s="63"/>
      <c r="B838" s="64"/>
      <c r="C838" s="65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6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</row>
    <row r="839">
      <c r="A839" s="63"/>
      <c r="B839" s="64"/>
      <c r="C839" s="65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6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</row>
    <row r="840">
      <c r="A840" s="63"/>
      <c r="B840" s="64"/>
      <c r="C840" s="65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6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</row>
    <row r="841">
      <c r="A841" s="63"/>
      <c r="B841" s="64"/>
      <c r="C841" s="65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6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</row>
    <row r="842">
      <c r="A842" s="63"/>
      <c r="B842" s="64"/>
      <c r="C842" s="65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6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</row>
    <row r="843">
      <c r="A843" s="63"/>
      <c r="B843" s="64"/>
      <c r="C843" s="65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6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</row>
    <row r="844">
      <c r="A844" s="63"/>
      <c r="B844" s="64"/>
      <c r="C844" s="65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6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</row>
    <row r="845">
      <c r="A845" s="63"/>
      <c r="B845" s="64"/>
      <c r="C845" s="65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6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</row>
    <row r="846">
      <c r="A846" s="63"/>
      <c r="B846" s="64"/>
      <c r="C846" s="65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6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</row>
    <row r="847">
      <c r="A847" s="63"/>
      <c r="B847" s="64"/>
      <c r="C847" s="65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6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</row>
    <row r="848">
      <c r="A848" s="63"/>
      <c r="B848" s="64"/>
      <c r="C848" s="65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6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</row>
    <row r="849">
      <c r="A849" s="63"/>
      <c r="B849" s="64"/>
      <c r="C849" s="65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6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</row>
    <row r="850">
      <c r="A850" s="63"/>
      <c r="B850" s="64"/>
      <c r="C850" s="65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6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</row>
    <row r="851">
      <c r="A851" s="63"/>
      <c r="B851" s="64"/>
      <c r="C851" s="65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6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</row>
    <row r="852">
      <c r="A852" s="63"/>
      <c r="B852" s="64"/>
      <c r="C852" s="65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6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</row>
    <row r="853">
      <c r="A853" s="63"/>
      <c r="B853" s="64"/>
      <c r="C853" s="65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6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</row>
    <row r="854">
      <c r="A854" s="63"/>
      <c r="B854" s="64"/>
      <c r="C854" s="65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6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</row>
    <row r="855">
      <c r="A855" s="63"/>
      <c r="B855" s="64"/>
      <c r="C855" s="65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6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</row>
    <row r="856">
      <c r="A856" s="63"/>
      <c r="B856" s="64"/>
      <c r="C856" s="65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6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</row>
    <row r="857">
      <c r="A857" s="63"/>
      <c r="B857" s="64"/>
      <c r="C857" s="65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6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</row>
    <row r="858">
      <c r="A858" s="63"/>
      <c r="B858" s="64"/>
      <c r="C858" s="65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6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</row>
    <row r="859">
      <c r="A859" s="63"/>
      <c r="B859" s="64"/>
      <c r="C859" s="65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6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</row>
    <row r="860">
      <c r="A860" s="63"/>
      <c r="B860" s="64"/>
      <c r="C860" s="65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6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</row>
    <row r="861">
      <c r="A861" s="63"/>
      <c r="B861" s="64"/>
      <c r="C861" s="65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6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</row>
    <row r="862">
      <c r="A862" s="63"/>
      <c r="B862" s="64"/>
      <c r="C862" s="65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6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</row>
    <row r="863">
      <c r="A863" s="63"/>
      <c r="B863" s="64"/>
      <c r="C863" s="65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6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</row>
    <row r="864">
      <c r="A864" s="63"/>
      <c r="B864" s="64"/>
      <c r="C864" s="65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6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</row>
    <row r="865">
      <c r="A865" s="63"/>
      <c r="B865" s="64"/>
      <c r="C865" s="65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6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</row>
    <row r="866">
      <c r="A866" s="63"/>
      <c r="B866" s="64"/>
      <c r="C866" s="65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6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</row>
    <row r="867">
      <c r="A867" s="63"/>
      <c r="B867" s="64"/>
      <c r="C867" s="65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6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</row>
    <row r="868">
      <c r="A868" s="63"/>
      <c r="B868" s="64"/>
      <c r="C868" s="65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6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</row>
    <row r="869">
      <c r="A869" s="63"/>
      <c r="B869" s="64"/>
      <c r="C869" s="65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6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</row>
    <row r="870">
      <c r="A870" s="63"/>
      <c r="B870" s="64"/>
      <c r="C870" s="65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6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</row>
    <row r="871">
      <c r="A871" s="63"/>
      <c r="B871" s="64"/>
      <c r="C871" s="65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6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</row>
    <row r="872">
      <c r="A872" s="63"/>
      <c r="B872" s="64"/>
      <c r="C872" s="65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6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</row>
    <row r="873">
      <c r="A873" s="63"/>
      <c r="B873" s="64"/>
      <c r="C873" s="65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6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</row>
    <row r="874">
      <c r="A874" s="63"/>
      <c r="B874" s="64"/>
      <c r="C874" s="65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6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</row>
    <row r="875">
      <c r="A875" s="63"/>
      <c r="B875" s="64"/>
      <c r="C875" s="65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6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</row>
    <row r="876">
      <c r="A876" s="63"/>
      <c r="B876" s="64"/>
      <c r="C876" s="65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6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</row>
    <row r="877">
      <c r="A877" s="63"/>
      <c r="B877" s="64"/>
      <c r="C877" s="65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6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</row>
    <row r="878">
      <c r="A878" s="63"/>
      <c r="B878" s="64"/>
      <c r="C878" s="65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6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</row>
    <row r="879">
      <c r="A879" s="63"/>
      <c r="B879" s="64"/>
      <c r="C879" s="65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6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</row>
    <row r="880">
      <c r="A880" s="63"/>
      <c r="B880" s="64"/>
      <c r="C880" s="65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6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</row>
    <row r="881">
      <c r="A881" s="63"/>
      <c r="B881" s="64"/>
      <c r="C881" s="65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6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</row>
    <row r="882">
      <c r="A882" s="63"/>
      <c r="B882" s="64"/>
      <c r="C882" s="65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6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</row>
    <row r="883">
      <c r="A883" s="63"/>
      <c r="B883" s="64"/>
      <c r="C883" s="65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6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</row>
    <row r="884">
      <c r="A884" s="63"/>
      <c r="B884" s="64"/>
      <c r="C884" s="65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6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</row>
    <row r="885">
      <c r="A885" s="63"/>
      <c r="B885" s="64"/>
      <c r="C885" s="65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6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</row>
    <row r="886">
      <c r="A886" s="63"/>
      <c r="B886" s="64"/>
      <c r="C886" s="65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6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</row>
    <row r="887">
      <c r="A887" s="63"/>
      <c r="B887" s="64"/>
      <c r="C887" s="65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6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</row>
    <row r="888">
      <c r="A888" s="63"/>
      <c r="B888" s="64"/>
      <c r="C888" s="65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6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</row>
    <row r="889">
      <c r="A889" s="63"/>
      <c r="B889" s="64"/>
      <c r="C889" s="65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6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</row>
    <row r="890">
      <c r="A890" s="63"/>
      <c r="B890" s="64"/>
      <c r="C890" s="65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6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</row>
    <row r="891">
      <c r="A891" s="63"/>
      <c r="B891" s="64"/>
      <c r="C891" s="65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6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</row>
    <row r="892">
      <c r="A892" s="63"/>
      <c r="B892" s="64"/>
      <c r="C892" s="65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6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</row>
    <row r="893">
      <c r="A893" s="63"/>
      <c r="B893" s="64"/>
      <c r="C893" s="65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6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</row>
    <row r="894">
      <c r="A894" s="63"/>
      <c r="B894" s="64"/>
      <c r="C894" s="65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6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</row>
    <row r="895">
      <c r="A895" s="63"/>
      <c r="B895" s="64"/>
      <c r="C895" s="65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6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</row>
    <row r="896">
      <c r="A896" s="63"/>
      <c r="B896" s="64"/>
      <c r="C896" s="65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6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</row>
    <row r="897">
      <c r="A897" s="63"/>
      <c r="B897" s="64"/>
      <c r="C897" s="65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6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</row>
    <row r="898">
      <c r="A898" s="63"/>
      <c r="B898" s="64"/>
      <c r="C898" s="65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6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</row>
    <row r="899">
      <c r="A899" s="63"/>
      <c r="B899" s="64"/>
      <c r="C899" s="65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6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</row>
    <row r="900">
      <c r="A900" s="63"/>
      <c r="B900" s="64"/>
      <c r="C900" s="65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6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</row>
    <row r="901">
      <c r="A901" s="63"/>
      <c r="B901" s="64"/>
      <c r="C901" s="65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6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</row>
    <row r="902">
      <c r="A902" s="63"/>
      <c r="B902" s="64"/>
      <c r="C902" s="65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6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</row>
    <row r="903">
      <c r="A903" s="63"/>
      <c r="B903" s="64"/>
      <c r="C903" s="65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6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</row>
    <row r="904">
      <c r="A904" s="63"/>
      <c r="B904" s="64"/>
      <c r="C904" s="65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6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</row>
    <row r="905">
      <c r="A905" s="63"/>
      <c r="B905" s="64"/>
      <c r="C905" s="65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6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</row>
    <row r="906">
      <c r="A906" s="63"/>
      <c r="B906" s="64"/>
      <c r="C906" s="65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6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</row>
    <row r="907">
      <c r="A907" s="63"/>
      <c r="B907" s="64"/>
      <c r="C907" s="65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6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</row>
    <row r="908">
      <c r="A908" s="63"/>
      <c r="B908" s="64"/>
      <c r="C908" s="65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6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</row>
    <row r="909">
      <c r="A909" s="63"/>
      <c r="B909" s="64"/>
      <c r="C909" s="65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6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</row>
    <row r="910">
      <c r="A910" s="63"/>
      <c r="B910" s="64"/>
      <c r="C910" s="65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6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</row>
    <row r="911">
      <c r="A911" s="63"/>
      <c r="B911" s="64"/>
      <c r="C911" s="65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6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</row>
    <row r="912">
      <c r="A912" s="63"/>
      <c r="B912" s="64"/>
      <c r="C912" s="65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6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</row>
    <row r="913">
      <c r="A913" s="63"/>
      <c r="B913" s="64"/>
      <c r="C913" s="65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6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</row>
    <row r="914">
      <c r="A914" s="63"/>
      <c r="B914" s="64"/>
      <c r="C914" s="65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6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</row>
    <row r="915">
      <c r="A915" s="63"/>
      <c r="B915" s="64"/>
      <c r="C915" s="65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6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</row>
    <row r="916">
      <c r="A916" s="63"/>
      <c r="B916" s="64"/>
      <c r="C916" s="65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6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</row>
    <row r="917">
      <c r="A917" s="63"/>
      <c r="B917" s="64"/>
      <c r="C917" s="65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6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</row>
    <row r="918">
      <c r="A918" s="63"/>
      <c r="B918" s="64"/>
      <c r="C918" s="65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6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</row>
    <row r="919">
      <c r="A919" s="63"/>
      <c r="B919" s="64"/>
      <c r="C919" s="65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6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</row>
    <row r="920">
      <c r="A920" s="63"/>
      <c r="B920" s="64"/>
      <c r="C920" s="65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6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</row>
    <row r="921">
      <c r="A921" s="63"/>
      <c r="B921" s="64"/>
      <c r="C921" s="65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6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</row>
    <row r="922">
      <c r="A922" s="63"/>
      <c r="B922" s="64"/>
      <c r="C922" s="65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6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</row>
    <row r="923">
      <c r="A923" s="63"/>
      <c r="B923" s="64"/>
      <c r="C923" s="65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6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</row>
    <row r="924">
      <c r="A924" s="63"/>
      <c r="B924" s="64"/>
      <c r="C924" s="65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6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</row>
    <row r="925">
      <c r="A925" s="63"/>
      <c r="B925" s="64"/>
      <c r="C925" s="65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6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</row>
    <row r="926">
      <c r="A926" s="63"/>
      <c r="B926" s="64"/>
      <c r="C926" s="65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6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</row>
    <row r="927">
      <c r="A927" s="63"/>
      <c r="B927" s="64"/>
      <c r="C927" s="65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6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</row>
    <row r="928">
      <c r="A928" s="63"/>
      <c r="B928" s="64"/>
      <c r="C928" s="65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6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</row>
    <row r="929">
      <c r="A929" s="63"/>
      <c r="B929" s="64"/>
      <c r="C929" s="65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6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</row>
    <row r="930">
      <c r="A930" s="63"/>
      <c r="B930" s="64"/>
      <c r="C930" s="65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6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</row>
    <row r="931">
      <c r="A931" s="63"/>
      <c r="B931" s="64"/>
      <c r="C931" s="65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6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</row>
    <row r="932">
      <c r="A932" s="63"/>
      <c r="B932" s="64"/>
      <c r="C932" s="65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6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</row>
    <row r="933">
      <c r="A933" s="63"/>
      <c r="B933" s="64"/>
      <c r="C933" s="65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6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</row>
    <row r="934">
      <c r="A934" s="63"/>
      <c r="B934" s="64"/>
      <c r="C934" s="65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6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</row>
    <row r="935">
      <c r="A935" s="63"/>
      <c r="B935" s="64"/>
      <c r="C935" s="65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6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</row>
    <row r="936">
      <c r="A936" s="63"/>
      <c r="B936" s="64"/>
      <c r="C936" s="65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6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</row>
    <row r="937">
      <c r="A937" s="63"/>
      <c r="B937" s="64"/>
      <c r="C937" s="65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6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</row>
    <row r="938">
      <c r="A938" s="63"/>
      <c r="B938" s="64"/>
      <c r="C938" s="65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6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</row>
    <row r="939">
      <c r="A939" s="63"/>
      <c r="B939" s="64"/>
      <c r="C939" s="65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6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</row>
    <row r="940">
      <c r="A940" s="63"/>
      <c r="B940" s="64"/>
      <c r="C940" s="65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6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</row>
    <row r="941">
      <c r="A941" s="63"/>
      <c r="B941" s="64"/>
      <c r="C941" s="65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6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</row>
    <row r="942">
      <c r="A942" s="63"/>
      <c r="B942" s="64"/>
      <c r="C942" s="65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6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</row>
    <row r="943">
      <c r="A943" s="63"/>
      <c r="B943" s="64"/>
      <c r="C943" s="65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6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</row>
    <row r="944">
      <c r="A944" s="63"/>
      <c r="B944" s="64"/>
      <c r="C944" s="65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6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</row>
    <row r="945">
      <c r="A945" s="63"/>
      <c r="B945" s="64"/>
      <c r="C945" s="65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6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</row>
    <row r="946">
      <c r="A946" s="63"/>
      <c r="B946" s="64"/>
      <c r="C946" s="65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6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</row>
    <row r="947">
      <c r="A947" s="63"/>
      <c r="B947" s="64"/>
      <c r="C947" s="65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6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</row>
    <row r="948">
      <c r="A948" s="63"/>
      <c r="B948" s="64"/>
      <c r="C948" s="65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6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</row>
    <row r="949">
      <c r="A949" s="63"/>
      <c r="B949" s="64"/>
      <c r="C949" s="65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6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</row>
    <row r="950">
      <c r="A950" s="63"/>
      <c r="B950" s="64"/>
      <c r="C950" s="65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6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</row>
    <row r="951">
      <c r="A951" s="63"/>
      <c r="B951" s="64"/>
      <c r="C951" s="65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6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</row>
    <row r="952">
      <c r="A952" s="63"/>
      <c r="B952" s="64"/>
      <c r="C952" s="65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6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</row>
    <row r="953">
      <c r="A953" s="63"/>
      <c r="B953" s="64"/>
      <c r="C953" s="65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6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</row>
    <row r="954">
      <c r="A954" s="63"/>
      <c r="B954" s="64"/>
      <c r="C954" s="65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6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</row>
    <row r="955">
      <c r="A955" s="63"/>
      <c r="B955" s="64"/>
      <c r="C955" s="65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6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</row>
    <row r="956">
      <c r="A956" s="63"/>
      <c r="B956" s="64"/>
      <c r="C956" s="65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6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</row>
    <row r="957">
      <c r="A957" s="63"/>
      <c r="B957" s="64"/>
      <c r="C957" s="65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6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</row>
    <row r="958">
      <c r="A958" s="63"/>
      <c r="B958" s="64"/>
      <c r="C958" s="65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6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</row>
    <row r="959">
      <c r="A959" s="63"/>
      <c r="B959" s="64"/>
      <c r="C959" s="65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6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</row>
    <row r="960">
      <c r="A960" s="63"/>
      <c r="B960" s="64"/>
      <c r="C960" s="65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6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</row>
    <row r="961">
      <c r="A961" s="63"/>
      <c r="B961" s="64"/>
      <c r="C961" s="65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6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</row>
    <row r="962">
      <c r="A962" s="63"/>
      <c r="B962" s="64"/>
      <c r="C962" s="65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6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</row>
    <row r="963">
      <c r="A963" s="63"/>
      <c r="B963" s="64"/>
      <c r="C963" s="65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6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</row>
    <row r="964">
      <c r="A964" s="63"/>
      <c r="B964" s="64"/>
      <c r="C964" s="65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6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</row>
    <row r="965">
      <c r="A965" s="63"/>
      <c r="B965" s="64"/>
      <c r="C965" s="65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6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</row>
    <row r="966">
      <c r="A966" s="63"/>
      <c r="B966" s="64"/>
      <c r="C966" s="65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6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</row>
    <row r="967">
      <c r="A967" s="63"/>
      <c r="B967" s="64"/>
      <c r="C967" s="65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6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</row>
    <row r="968">
      <c r="A968" s="63"/>
      <c r="B968" s="64"/>
      <c r="C968" s="65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6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</row>
    <row r="969">
      <c r="A969" s="63"/>
      <c r="B969" s="64"/>
      <c r="C969" s="65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6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</row>
    <row r="970">
      <c r="A970" s="63"/>
      <c r="B970" s="64"/>
      <c r="C970" s="65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6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</row>
    <row r="971">
      <c r="A971" s="63"/>
      <c r="B971" s="64"/>
      <c r="C971" s="65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6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</row>
    <row r="972">
      <c r="A972" s="63"/>
      <c r="B972" s="64"/>
      <c r="C972" s="65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6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</row>
    <row r="973">
      <c r="A973" s="63"/>
      <c r="B973" s="64"/>
      <c r="C973" s="65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6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</row>
    <row r="974">
      <c r="A974" s="63"/>
      <c r="B974" s="64"/>
      <c r="C974" s="65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6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</row>
    <row r="975">
      <c r="A975" s="63"/>
      <c r="B975" s="64"/>
      <c r="C975" s="65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6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</row>
    <row r="976">
      <c r="A976" s="63"/>
      <c r="B976" s="64"/>
      <c r="C976" s="65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6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</row>
    <row r="977">
      <c r="A977" s="63"/>
      <c r="B977" s="64"/>
      <c r="C977" s="65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6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</row>
    <row r="978">
      <c r="A978" s="63"/>
      <c r="B978" s="64"/>
      <c r="C978" s="65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6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</row>
    <row r="979">
      <c r="A979" s="63"/>
      <c r="B979" s="64"/>
      <c r="C979" s="65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6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</row>
    <row r="980">
      <c r="A980" s="63"/>
      <c r="B980" s="64"/>
      <c r="C980" s="65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6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</row>
    <row r="981">
      <c r="A981" s="63"/>
      <c r="B981" s="64"/>
      <c r="C981" s="65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6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</row>
    <row r="982">
      <c r="A982" s="63"/>
      <c r="B982" s="64"/>
      <c r="C982" s="65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6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</row>
    <row r="983">
      <c r="A983" s="63"/>
      <c r="B983" s="64"/>
      <c r="C983" s="65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6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</row>
    <row r="984">
      <c r="A984" s="63"/>
      <c r="B984" s="64"/>
      <c r="C984" s="65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6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</row>
    <row r="985">
      <c r="A985" s="63"/>
      <c r="B985" s="64"/>
      <c r="C985" s="65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90"/>
      <c r="O985" s="56"/>
      <c r="P985" s="6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</row>
    <row r="986">
      <c r="A986" s="63"/>
      <c r="B986" s="64"/>
      <c r="C986" s="65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90"/>
      <c r="O986" s="56"/>
      <c r="P986" s="6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</row>
    <row r="987">
      <c r="A987" s="63"/>
      <c r="B987" s="64"/>
      <c r="C987" s="65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90"/>
      <c r="O987" s="56"/>
      <c r="P987" s="6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</row>
    <row r="988">
      <c r="A988" s="63"/>
      <c r="B988" s="64"/>
      <c r="C988" s="65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90"/>
      <c r="O988" s="56"/>
      <c r="P988" s="6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</row>
    <row r="989">
      <c r="A989" s="63"/>
      <c r="B989" s="64"/>
      <c r="C989" s="65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90"/>
      <c r="O989" s="56"/>
      <c r="P989" s="6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</row>
    <row r="990">
      <c r="A990" s="63"/>
      <c r="B990" s="64"/>
      <c r="C990" s="65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90"/>
      <c r="O990" s="56"/>
      <c r="P990" s="6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</row>
    <row r="991">
      <c r="A991" s="63"/>
      <c r="B991" s="64"/>
      <c r="C991" s="65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90"/>
      <c r="O991" s="56"/>
      <c r="P991" s="6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</row>
    <row r="992">
      <c r="A992" s="63"/>
      <c r="B992" s="64"/>
      <c r="C992" s="65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90"/>
      <c r="O992" s="56"/>
      <c r="P992" s="6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</row>
    <row r="993">
      <c r="A993" s="63"/>
      <c r="B993" s="64"/>
      <c r="C993" s="65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90"/>
      <c r="O993" s="56"/>
      <c r="P993" s="6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</row>
  </sheetData>
  <mergeCells count="13">
    <mergeCell ref="B1:B2"/>
    <mergeCell ref="A24:A25"/>
    <mergeCell ref="B24:B25"/>
    <mergeCell ref="C24:F24"/>
    <mergeCell ref="G24:J24"/>
    <mergeCell ref="K24:N24"/>
    <mergeCell ref="C1:F1"/>
    <mergeCell ref="G1:J1"/>
    <mergeCell ref="K1:N1"/>
    <mergeCell ref="O1:R1"/>
    <mergeCell ref="S1:V1"/>
    <mergeCell ref="W1:Z1"/>
    <mergeCell ref="AA1:AD1"/>
  </mergeCells>
  <printOptions gridLines="1" horizontalCentered="1"/>
  <pageMargins bottom="0.75" footer="0.0" header="0.0" left="0.7" right="0.7" top="0.75"/>
  <pageSetup cellComments="atEnd" orientation="landscape" pageOrder="overThenDown" paperHeight="5.799999999999999in" paperWidth="14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60.5"/>
    <col customWidth="1" min="2" max="2" width="12.38"/>
    <col customWidth="1" min="10" max="10" width="10.38"/>
    <col customWidth="1" min="11" max="11" width="9.63"/>
    <col customWidth="1" min="12" max="12" width="8.0"/>
    <col customWidth="1" min="13" max="13" width="8.75"/>
  </cols>
  <sheetData>
    <row r="1">
      <c r="A1" s="91" t="s">
        <v>0</v>
      </c>
      <c r="B1" s="92" t="s">
        <v>1</v>
      </c>
      <c r="C1" s="3"/>
      <c r="D1" s="3"/>
      <c r="E1" s="4"/>
      <c r="F1" s="23" t="s">
        <v>2</v>
      </c>
      <c r="G1" s="3"/>
      <c r="H1" s="3"/>
      <c r="I1" s="4"/>
      <c r="J1" s="23" t="s">
        <v>3</v>
      </c>
      <c r="K1" s="3"/>
      <c r="L1" s="3"/>
      <c r="M1" s="4"/>
      <c r="N1" s="23" t="s">
        <v>4</v>
      </c>
      <c r="O1" s="3"/>
      <c r="P1" s="3"/>
      <c r="Q1" s="4"/>
      <c r="R1" s="23" t="s">
        <v>5</v>
      </c>
      <c r="S1" s="3"/>
      <c r="T1" s="3"/>
      <c r="U1" s="4"/>
      <c r="V1" s="23" t="s">
        <v>6</v>
      </c>
      <c r="W1" s="3"/>
      <c r="X1" s="3"/>
      <c r="Y1" s="4"/>
      <c r="Z1" s="23" t="s">
        <v>7</v>
      </c>
      <c r="AA1" s="3"/>
      <c r="AB1" s="3"/>
      <c r="AC1" s="4"/>
      <c r="AD1" s="24"/>
    </row>
    <row r="2">
      <c r="A2" s="7"/>
      <c r="B2" s="25">
        <v>2022.0</v>
      </c>
      <c r="C2" s="25">
        <v>2023.0</v>
      </c>
      <c r="D2" s="25">
        <v>2024.0</v>
      </c>
      <c r="E2" s="25">
        <v>2025.0</v>
      </c>
      <c r="F2" s="25">
        <v>2022.0</v>
      </c>
      <c r="G2" s="25">
        <v>2023.0</v>
      </c>
      <c r="H2" s="25">
        <v>2024.0</v>
      </c>
      <c r="I2" s="25">
        <v>2025.0</v>
      </c>
      <c r="J2" s="25">
        <v>2022.0</v>
      </c>
      <c r="K2" s="25">
        <v>2023.0</v>
      </c>
      <c r="L2" s="25">
        <v>2024.0</v>
      </c>
      <c r="M2" s="25" t="s">
        <v>8</v>
      </c>
      <c r="N2" s="25">
        <v>2022.0</v>
      </c>
      <c r="O2" s="25">
        <v>2023.0</v>
      </c>
      <c r="P2" s="25">
        <v>2024.0</v>
      </c>
      <c r="Q2" s="25" t="s">
        <v>9</v>
      </c>
      <c r="R2" s="25">
        <v>2022.0</v>
      </c>
      <c r="S2" s="25">
        <v>2023.0</v>
      </c>
      <c r="T2" s="25">
        <v>2024.0</v>
      </c>
      <c r="U2" s="25">
        <v>2025.0</v>
      </c>
      <c r="V2" s="25">
        <v>2022.0</v>
      </c>
      <c r="W2" s="25">
        <v>2023.0</v>
      </c>
      <c r="X2" s="25">
        <v>2024.0</v>
      </c>
      <c r="Y2" s="25">
        <v>2025.0</v>
      </c>
      <c r="Z2" s="25">
        <v>2022.0</v>
      </c>
      <c r="AA2" s="25">
        <v>2023.0</v>
      </c>
      <c r="AB2" s="25">
        <v>2024.0</v>
      </c>
      <c r="AC2" s="25">
        <v>2025.0</v>
      </c>
      <c r="AD2" s="24"/>
    </row>
    <row r="3">
      <c r="A3" s="93" t="s">
        <v>10</v>
      </c>
      <c r="B3" s="27">
        <v>16525.78</v>
      </c>
      <c r="C3" s="27">
        <v>18541.32</v>
      </c>
      <c r="D3" s="27">
        <v>19266.67</v>
      </c>
      <c r="E3" s="27">
        <v>21082.58</v>
      </c>
      <c r="F3" s="28">
        <v>44050.68</v>
      </c>
      <c r="G3" s="28">
        <v>46608.45</v>
      </c>
      <c r="H3" s="28">
        <v>49367.5</v>
      </c>
      <c r="I3" s="27">
        <v>55984.25</v>
      </c>
      <c r="J3" s="28">
        <v>2530.73</v>
      </c>
      <c r="K3" s="28">
        <v>2516.65</v>
      </c>
      <c r="L3" s="28">
        <v>2762.53</v>
      </c>
      <c r="M3" s="28">
        <v>2762.53</v>
      </c>
      <c r="N3" s="29">
        <v>207716.66</v>
      </c>
      <c r="O3" s="29">
        <v>221650.61</v>
      </c>
      <c r="P3" s="29">
        <v>237631.6</v>
      </c>
      <c r="Q3" s="29">
        <v>267710.3</v>
      </c>
      <c r="R3" s="28">
        <v>211490.54</v>
      </c>
      <c r="S3" s="30">
        <v>224291.41</v>
      </c>
      <c r="T3" s="30">
        <v>237348.86</v>
      </c>
      <c r="U3" s="30">
        <v>253907.09</v>
      </c>
      <c r="V3" s="27">
        <v>303510.39</v>
      </c>
      <c r="W3" s="27">
        <v>326087.35</v>
      </c>
      <c r="X3" s="27">
        <v>337697.52</v>
      </c>
      <c r="Y3" s="28">
        <v>365375.14</v>
      </c>
      <c r="Z3" s="31">
        <f t="shared" ref="Z3:AC3" si="1">SUM(B3,F3,J3,N3,R3,V3)</f>
        <v>785824.78</v>
      </c>
      <c r="AA3" s="31">
        <f t="shared" si="1"/>
        <v>839695.79</v>
      </c>
      <c r="AB3" s="31">
        <f t="shared" si="1"/>
        <v>884074.68</v>
      </c>
      <c r="AC3" s="31">
        <f t="shared" si="1"/>
        <v>966821.89</v>
      </c>
      <c r="AD3" s="37"/>
    </row>
    <row r="4">
      <c r="A4" s="94" t="s">
        <v>11</v>
      </c>
      <c r="B4" s="27">
        <v>713.77</v>
      </c>
      <c r="C4" s="27">
        <v>799.92</v>
      </c>
      <c r="D4" s="27">
        <v>871.35</v>
      </c>
      <c r="E4" s="27">
        <v>791.27</v>
      </c>
      <c r="F4" s="28">
        <v>4142.46</v>
      </c>
      <c r="G4" s="28">
        <v>3504.21</v>
      </c>
      <c r="H4" s="28">
        <v>3321.9</v>
      </c>
      <c r="I4" s="27">
        <v>3441.02</v>
      </c>
      <c r="J4" s="28">
        <v>8031.15</v>
      </c>
      <c r="K4" s="28">
        <v>6005.63</v>
      </c>
      <c r="L4" s="28">
        <v>5717.42</v>
      </c>
      <c r="M4" s="28">
        <v>5717.42</v>
      </c>
      <c r="N4" s="28">
        <v>27934.5</v>
      </c>
      <c r="O4" s="29">
        <v>26089.3</v>
      </c>
      <c r="P4" s="29">
        <v>27360.32</v>
      </c>
      <c r="Q4" s="29">
        <v>27600.49</v>
      </c>
      <c r="R4" s="34">
        <v>37723.92</v>
      </c>
      <c r="S4" s="30">
        <v>38102.94</v>
      </c>
      <c r="T4" s="30">
        <v>39211.8</v>
      </c>
      <c r="U4" s="30">
        <v>40556.56</v>
      </c>
      <c r="V4" s="27">
        <v>119698.47</v>
      </c>
      <c r="W4" s="27">
        <v>112701.63</v>
      </c>
      <c r="X4" s="27">
        <v>113344.46</v>
      </c>
      <c r="Y4" s="27">
        <v>113099.01</v>
      </c>
      <c r="Z4" s="31">
        <f t="shared" ref="Z4:AC4" si="2">SUM(B4,F4,J4,N4,R4,V4)</f>
        <v>198244.27</v>
      </c>
      <c r="AA4" s="31">
        <f t="shared" si="2"/>
        <v>187203.63</v>
      </c>
      <c r="AB4" s="31">
        <f t="shared" si="2"/>
        <v>189827.25</v>
      </c>
      <c r="AC4" s="31">
        <f t="shared" si="2"/>
        <v>191205.77</v>
      </c>
      <c r="AD4" s="37"/>
    </row>
    <row r="5">
      <c r="A5" s="94" t="s">
        <v>12</v>
      </c>
      <c r="B5" s="27">
        <v>19775.46</v>
      </c>
      <c r="C5" s="27">
        <v>21352.59</v>
      </c>
      <c r="D5" s="27">
        <v>22927.55</v>
      </c>
      <c r="E5" s="27">
        <v>24552.34</v>
      </c>
      <c r="F5" s="28">
        <v>227665.58</v>
      </c>
      <c r="G5" s="28">
        <v>246265.69</v>
      </c>
      <c r="H5" s="28">
        <v>265140.7</v>
      </c>
      <c r="I5" s="27">
        <v>285314.72</v>
      </c>
      <c r="J5" s="28">
        <v>391219.26</v>
      </c>
      <c r="K5" s="28">
        <v>408799.84</v>
      </c>
      <c r="L5" s="28">
        <v>422940.32</v>
      </c>
      <c r="M5" s="28">
        <v>422940.32</v>
      </c>
      <c r="N5" s="28">
        <v>1023400.77</v>
      </c>
      <c r="O5" s="28">
        <v>1099081.21</v>
      </c>
      <c r="P5" s="29">
        <v>1168548.23</v>
      </c>
      <c r="Q5" s="29">
        <v>1227809.0</v>
      </c>
      <c r="R5" s="28">
        <v>529181.82</v>
      </c>
      <c r="S5" s="30">
        <v>576208.65</v>
      </c>
      <c r="T5" s="30">
        <v>614658.98</v>
      </c>
      <c r="U5" s="30">
        <v>648749.29</v>
      </c>
      <c r="V5" s="27">
        <v>835393.31</v>
      </c>
      <c r="W5" s="27">
        <v>901185.69</v>
      </c>
      <c r="X5" s="27">
        <v>977507.54</v>
      </c>
      <c r="Y5" s="27">
        <v>1065685.79</v>
      </c>
      <c r="Z5" s="31">
        <f t="shared" ref="Z5:AC5" si="3">SUM(B5,F5,J5,N5,R5,V5)</f>
        <v>3026636.2</v>
      </c>
      <c r="AA5" s="31">
        <f t="shared" si="3"/>
        <v>3252893.67</v>
      </c>
      <c r="AB5" s="31">
        <f t="shared" si="3"/>
        <v>3471723.32</v>
      </c>
      <c r="AC5" s="31">
        <f t="shared" si="3"/>
        <v>3675051.46</v>
      </c>
      <c r="AD5" s="37"/>
    </row>
    <row r="6">
      <c r="A6" s="94" t="s">
        <v>13</v>
      </c>
      <c r="B6" s="27">
        <v>223.58</v>
      </c>
      <c r="C6" s="27">
        <v>250.0</v>
      </c>
      <c r="D6" s="27">
        <v>277.56</v>
      </c>
      <c r="E6" s="27">
        <v>292.22</v>
      </c>
      <c r="F6" s="28">
        <v>13017.8</v>
      </c>
      <c r="G6" s="28">
        <v>12785.13</v>
      </c>
      <c r="H6" s="28">
        <v>10831.56</v>
      </c>
      <c r="I6" s="27">
        <v>11372.92</v>
      </c>
      <c r="J6" s="28">
        <v>7486.94</v>
      </c>
      <c r="K6" s="28">
        <v>6878.99</v>
      </c>
      <c r="L6" s="28">
        <v>5628.35</v>
      </c>
      <c r="M6" s="28">
        <v>5628.35</v>
      </c>
      <c r="N6" s="28">
        <v>12161.53</v>
      </c>
      <c r="O6" s="28">
        <v>12221.17</v>
      </c>
      <c r="P6" s="29">
        <v>12059.32</v>
      </c>
      <c r="Q6" s="29">
        <v>12551.2</v>
      </c>
      <c r="R6" s="30">
        <v>1438.0</v>
      </c>
      <c r="S6" s="30">
        <v>1556.85</v>
      </c>
      <c r="T6" s="30">
        <v>1675.83</v>
      </c>
      <c r="U6" s="30">
        <v>1752.77</v>
      </c>
      <c r="V6" s="27">
        <v>8042.88</v>
      </c>
      <c r="W6" s="27">
        <v>10374.52</v>
      </c>
      <c r="X6" s="27">
        <v>11181.77</v>
      </c>
      <c r="Y6" s="27">
        <v>11981.83</v>
      </c>
      <c r="Z6" s="31">
        <f t="shared" ref="Z6:AC6" si="4">SUM(B6,F6,J6,N6,R6,V6)</f>
        <v>42370.73</v>
      </c>
      <c r="AA6" s="31">
        <f t="shared" si="4"/>
        <v>44066.66</v>
      </c>
      <c r="AB6" s="31">
        <f t="shared" si="4"/>
        <v>41654.39</v>
      </c>
      <c r="AC6" s="31">
        <f t="shared" si="4"/>
        <v>43579.29</v>
      </c>
      <c r="AD6" s="37"/>
    </row>
    <row r="7">
      <c r="A7" s="93" t="s">
        <v>14</v>
      </c>
      <c r="B7" s="27">
        <v>162.57</v>
      </c>
      <c r="C7" s="27">
        <v>171.98</v>
      </c>
      <c r="D7" s="27">
        <v>174.22</v>
      </c>
      <c r="E7" s="27">
        <v>174.28</v>
      </c>
      <c r="F7" s="28">
        <v>612.68</v>
      </c>
      <c r="G7" s="28">
        <v>652.28</v>
      </c>
      <c r="H7" s="28">
        <v>718.35</v>
      </c>
      <c r="I7" s="27">
        <v>769.82</v>
      </c>
      <c r="J7" s="28">
        <v>984.18</v>
      </c>
      <c r="K7" s="28">
        <v>1057.43</v>
      </c>
      <c r="L7" s="28">
        <v>1121.37</v>
      </c>
      <c r="M7" s="28">
        <v>1121.37</v>
      </c>
      <c r="N7" s="28">
        <v>2485.54</v>
      </c>
      <c r="O7" s="28">
        <v>2575.78</v>
      </c>
      <c r="P7" s="29">
        <v>2872.12</v>
      </c>
      <c r="Q7" s="29">
        <v>3044.19</v>
      </c>
      <c r="R7" s="30">
        <v>938.29</v>
      </c>
      <c r="S7" s="30">
        <v>985.79</v>
      </c>
      <c r="T7" s="30">
        <v>1066.34</v>
      </c>
      <c r="U7" s="30">
        <v>1123.96</v>
      </c>
      <c r="V7" s="27">
        <v>2443.2</v>
      </c>
      <c r="W7" s="27">
        <v>2541.86</v>
      </c>
      <c r="X7" s="27">
        <v>2626.96</v>
      </c>
      <c r="Y7" s="27">
        <v>2763.35</v>
      </c>
      <c r="Z7" s="31">
        <f t="shared" ref="Z7:AC7" si="5">SUM(B7,F7,J7,N7,R7,V7)</f>
        <v>7626.46</v>
      </c>
      <c r="AA7" s="31">
        <f t="shared" si="5"/>
        <v>7985.12</v>
      </c>
      <c r="AB7" s="31">
        <f t="shared" si="5"/>
        <v>8579.36</v>
      </c>
      <c r="AC7" s="31">
        <f t="shared" si="5"/>
        <v>8996.97</v>
      </c>
      <c r="AD7" s="37"/>
    </row>
    <row r="8">
      <c r="A8" s="94" t="s">
        <v>15</v>
      </c>
      <c r="B8" s="27">
        <v>16440.15</v>
      </c>
      <c r="C8" s="27">
        <v>17036.95</v>
      </c>
      <c r="D8" s="27">
        <v>18627.62</v>
      </c>
      <c r="E8" s="27">
        <v>20420.61</v>
      </c>
      <c r="F8" s="28">
        <v>91184.67</v>
      </c>
      <c r="G8" s="28">
        <v>95666.94</v>
      </c>
      <c r="H8" s="28">
        <v>102165.15</v>
      </c>
      <c r="I8" s="27">
        <v>110523.6</v>
      </c>
      <c r="J8" s="28">
        <v>351920.99</v>
      </c>
      <c r="K8" s="28">
        <v>372447.93</v>
      </c>
      <c r="L8" s="28">
        <v>401305.8</v>
      </c>
      <c r="M8" s="28">
        <v>401305.8</v>
      </c>
      <c r="N8" s="28">
        <v>202276.62</v>
      </c>
      <c r="O8" s="28">
        <v>221150.71</v>
      </c>
      <c r="P8" s="29">
        <v>238500.79</v>
      </c>
      <c r="Q8" s="29">
        <v>253691.2</v>
      </c>
      <c r="R8" s="30">
        <v>172199.81</v>
      </c>
      <c r="S8" s="30">
        <v>190384.35</v>
      </c>
      <c r="T8" s="30">
        <v>207039.33</v>
      </c>
      <c r="U8" s="30">
        <v>222900.55</v>
      </c>
      <c r="V8" s="27">
        <v>246876.37</v>
      </c>
      <c r="W8" s="27">
        <v>263243.87</v>
      </c>
      <c r="X8" s="27">
        <v>284121.28</v>
      </c>
      <c r="Y8" s="27">
        <v>299579.06</v>
      </c>
      <c r="Z8" s="31">
        <f t="shared" ref="Z8:AC8" si="6">SUM(B8,F8,J8,N8,R8,V8)</f>
        <v>1080898.61</v>
      </c>
      <c r="AA8" s="31">
        <f t="shared" si="6"/>
        <v>1159930.75</v>
      </c>
      <c r="AB8" s="31">
        <f t="shared" si="6"/>
        <v>1251759.97</v>
      </c>
      <c r="AC8" s="31">
        <f t="shared" si="6"/>
        <v>1308420.82</v>
      </c>
      <c r="AD8" s="37"/>
    </row>
    <row r="9">
      <c r="A9" s="94" t="s">
        <v>16</v>
      </c>
      <c r="B9" s="27">
        <v>13677.56</v>
      </c>
      <c r="C9" s="27">
        <v>14768.7</v>
      </c>
      <c r="D9" s="27">
        <v>15623.23</v>
      </c>
      <c r="E9" s="27">
        <v>16761.57</v>
      </c>
      <c r="F9" s="28">
        <v>93547.29</v>
      </c>
      <c r="G9" s="28">
        <v>101006.64</v>
      </c>
      <c r="H9" s="28">
        <v>108163.85</v>
      </c>
      <c r="I9" s="27">
        <v>115667.09</v>
      </c>
      <c r="J9" s="28">
        <v>555567.92</v>
      </c>
      <c r="K9" s="28">
        <v>608311.63</v>
      </c>
      <c r="L9" s="28">
        <v>662471.32</v>
      </c>
      <c r="M9" s="28">
        <v>662471.32</v>
      </c>
      <c r="N9" s="28">
        <v>348996.55</v>
      </c>
      <c r="O9" s="28">
        <v>378832.69</v>
      </c>
      <c r="P9" s="29">
        <v>408257.19</v>
      </c>
      <c r="Q9" s="29">
        <v>438021.6</v>
      </c>
      <c r="R9" s="30">
        <v>212208.01</v>
      </c>
      <c r="S9" s="30">
        <v>230723.26</v>
      </c>
      <c r="T9" s="30">
        <v>245140.47</v>
      </c>
      <c r="U9" s="30">
        <v>262081.27</v>
      </c>
      <c r="V9" s="27">
        <v>509889.56</v>
      </c>
      <c r="W9" s="27">
        <v>558385.86</v>
      </c>
      <c r="X9" s="27">
        <v>596083.66</v>
      </c>
      <c r="Y9" s="27">
        <v>631235.53</v>
      </c>
      <c r="Z9" s="31">
        <f t="shared" ref="Z9:AC9" si="7">SUM(B9,F9,J9,N9,R9,V9)</f>
        <v>1733886.89</v>
      </c>
      <c r="AA9" s="31">
        <f t="shared" si="7"/>
        <v>1892028.78</v>
      </c>
      <c r="AB9" s="31">
        <f t="shared" si="7"/>
        <v>2035739.72</v>
      </c>
      <c r="AC9" s="31">
        <f t="shared" si="7"/>
        <v>2126238.38</v>
      </c>
      <c r="AD9" s="37"/>
    </row>
    <row r="10">
      <c r="A10" s="94" t="s">
        <v>17</v>
      </c>
      <c r="B10" s="27">
        <v>8483.54</v>
      </c>
      <c r="C10" s="27">
        <v>10135.39</v>
      </c>
      <c r="D10" s="27">
        <v>11282.92</v>
      </c>
      <c r="E10" s="27">
        <v>11933.75</v>
      </c>
      <c r="F10" s="28">
        <v>71161.82</v>
      </c>
      <c r="G10" s="28">
        <v>90542.7</v>
      </c>
      <c r="H10" s="28">
        <v>100200.91</v>
      </c>
      <c r="I10" s="27">
        <v>103587.51</v>
      </c>
      <c r="J10" s="28">
        <v>126971.27</v>
      </c>
      <c r="K10" s="28">
        <v>151850.8</v>
      </c>
      <c r="L10" s="28">
        <v>166936.1</v>
      </c>
      <c r="M10" s="28">
        <v>166936.1</v>
      </c>
      <c r="N10" s="29">
        <v>130202.05</v>
      </c>
      <c r="O10" s="28">
        <v>155099.82</v>
      </c>
      <c r="P10" s="29">
        <v>176286.29</v>
      </c>
      <c r="Q10" s="29">
        <v>200138.9</v>
      </c>
      <c r="R10" s="30">
        <v>59256.75</v>
      </c>
      <c r="S10" s="30">
        <v>69538.67</v>
      </c>
      <c r="T10" s="30">
        <v>74443.94</v>
      </c>
      <c r="U10" s="30">
        <v>80201.66</v>
      </c>
      <c r="V10" s="27">
        <v>96434.87</v>
      </c>
      <c r="W10" s="27">
        <v>119171.36</v>
      </c>
      <c r="X10" s="27">
        <v>132252.92</v>
      </c>
      <c r="Y10" s="27">
        <v>142333.91</v>
      </c>
      <c r="Z10" s="31">
        <f t="shared" ref="Z10:AC10" si="8">SUM(B10,F10,J10,N10,R10,V10)</f>
        <v>492510.3</v>
      </c>
      <c r="AA10" s="31">
        <f t="shared" si="8"/>
        <v>596338.74</v>
      </c>
      <c r="AB10" s="31">
        <f t="shared" si="8"/>
        <v>661403.08</v>
      </c>
      <c r="AC10" s="31">
        <f t="shared" si="8"/>
        <v>705131.83</v>
      </c>
      <c r="AD10" s="37"/>
    </row>
    <row r="11">
      <c r="A11" s="94" t="s">
        <v>18</v>
      </c>
      <c r="B11" s="27">
        <v>16374.44</v>
      </c>
      <c r="C11" s="27">
        <v>18421.95</v>
      </c>
      <c r="D11" s="27">
        <v>20534.52</v>
      </c>
      <c r="E11" s="27">
        <v>22713.47</v>
      </c>
      <c r="F11" s="28">
        <v>17447.46</v>
      </c>
      <c r="G11" s="28">
        <v>19150.09</v>
      </c>
      <c r="H11" s="28">
        <v>21071.86</v>
      </c>
      <c r="I11" s="27">
        <v>22828.46</v>
      </c>
      <c r="J11" s="28">
        <v>143663.36</v>
      </c>
      <c r="K11" s="28">
        <v>161237.93</v>
      </c>
      <c r="L11" s="28">
        <v>178510.88</v>
      </c>
      <c r="M11" s="28">
        <v>178510.88</v>
      </c>
      <c r="N11" s="28">
        <v>69670.16</v>
      </c>
      <c r="O11" s="28">
        <v>79501.42</v>
      </c>
      <c r="P11" s="29">
        <v>86660.1</v>
      </c>
      <c r="Q11" s="29">
        <v>97413.82</v>
      </c>
      <c r="R11" s="30">
        <v>51316.31</v>
      </c>
      <c r="S11" s="30">
        <v>57757.14</v>
      </c>
      <c r="T11" s="30">
        <v>64731.32</v>
      </c>
      <c r="U11" s="30">
        <v>72617.6</v>
      </c>
      <c r="V11" s="27">
        <v>154142.37</v>
      </c>
      <c r="W11" s="27">
        <v>173189.33</v>
      </c>
      <c r="X11" s="27">
        <v>189716.7</v>
      </c>
      <c r="Y11" s="27">
        <v>208494.46</v>
      </c>
      <c r="Z11" s="31">
        <f t="shared" ref="Z11:AC11" si="9">SUM(B11,F11,J11,N11,R11,V11)</f>
        <v>452614.1</v>
      </c>
      <c r="AA11" s="31">
        <f t="shared" si="9"/>
        <v>509257.86</v>
      </c>
      <c r="AB11" s="31">
        <f t="shared" si="9"/>
        <v>561225.38</v>
      </c>
      <c r="AC11" s="31">
        <f t="shared" si="9"/>
        <v>602578.69</v>
      </c>
      <c r="AD11" s="37"/>
    </row>
    <row r="12">
      <c r="A12" s="94" t="s">
        <v>19</v>
      </c>
      <c r="B12" s="27">
        <v>17073.16</v>
      </c>
      <c r="C12" s="27">
        <v>18110.08</v>
      </c>
      <c r="D12" s="27">
        <v>18931.12</v>
      </c>
      <c r="E12" s="27">
        <v>20056.23</v>
      </c>
      <c r="F12" s="28">
        <v>28218.24</v>
      </c>
      <c r="G12" s="28">
        <v>30601.82</v>
      </c>
      <c r="H12" s="28">
        <v>32734.19</v>
      </c>
      <c r="I12" s="27">
        <v>34663.22</v>
      </c>
      <c r="J12" s="28">
        <v>294865.58</v>
      </c>
      <c r="K12" s="28">
        <v>320987.64</v>
      </c>
      <c r="L12" s="28">
        <v>342477.64</v>
      </c>
      <c r="M12" s="28">
        <v>342477.64</v>
      </c>
      <c r="N12" s="28">
        <v>92644.33</v>
      </c>
      <c r="O12" s="28">
        <v>100002.58</v>
      </c>
      <c r="P12" s="29">
        <v>108134.62</v>
      </c>
      <c r="Q12" s="29">
        <v>117665.0</v>
      </c>
      <c r="R12" s="30">
        <v>62593.23</v>
      </c>
      <c r="S12" s="30">
        <v>69420.57</v>
      </c>
      <c r="T12" s="30">
        <v>76438.36</v>
      </c>
      <c r="U12" s="30">
        <v>83408.76</v>
      </c>
      <c r="V12" s="27">
        <v>135673.33</v>
      </c>
      <c r="W12" s="27">
        <v>145547.25</v>
      </c>
      <c r="X12" s="27">
        <v>156394.33</v>
      </c>
      <c r="Y12" s="27">
        <v>168566.56</v>
      </c>
      <c r="Z12" s="31">
        <f t="shared" ref="Z12:AC12" si="10">SUM(B12,F12,J12,N12,R12,V12)</f>
        <v>631067.87</v>
      </c>
      <c r="AA12" s="31">
        <f t="shared" si="10"/>
        <v>684669.94</v>
      </c>
      <c r="AB12" s="31">
        <f t="shared" si="10"/>
        <v>735110.26</v>
      </c>
      <c r="AC12" s="31">
        <f t="shared" si="10"/>
        <v>766837.41</v>
      </c>
      <c r="AD12" s="37"/>
    </row>
    <row r="13">
      <c r="A13" s="94" t="s">
        <v>20</v>
      </c>
      <c r="B13" s="27">
        <v>6830.31</v>
      </c>
      <c r="C13" s="27">
        <v>7678.61</v>
      </c>
      <c r="D13" s="27">
        <v>8250.02</v>
      </c>
      <c r="E13" s="27">
        <v>8561.35</v>
      </c>
      <c r="F13" s="28">
        <v>25307.63</v>
      </c>
      <c r="G13" s="28">
        <v>25724.53</v>
      </c>
      <c r="H13" s="28">
        <v>26054.81</v>
      </c>
      <c r="I13" s="27">
        <v>25992.58</v>
      </c>
      <c r="J13" s="28">
        <v>352956.32</v>
      </c>
      <c r="K13" s="28">
        <v>382294.93</v>
      </c>
      <c r="L13" s="28">
        <v>408186.14</v>
      </c>
      <c r="M13" s="28">
        <v>408186.14</v>
      </c>
      <c r="N13" s="28">
        <v>69885.95</v>
      </c>
      <c r="O13" s="28">
        <v>74126.26</v>
      </c>
      <c r="P13" s="29">
        <v>78558.46</v>
      </c>
      <c r="Q13" s="29">
        <v>83737.81</v>
      </c>
      <c r="R13" s="30">
        <v>46920.61</v>
      </c>
      <c r="S13" s="30">
        <v>48965.2</v>
      </c>
      <c r="T13" s="30">
        <v>50560.09</v>
      </c>
      <c r="U13" s="30">
        <v>54552.68</v>
      </c>
      <c r="V13" s="27">
        <v>72592.53</v>
      </c>
      <c r="W13" s="27">
        <v>77073.8</v>
      </c>
      <c r="X13" s="27">
        <v>80978.2</v>
      </c>
      <c r="Y13" s="27">
        <v>84295.03</v>
      </c>
      <c r="Z13" s="31">
        <f t="shared" ref="Z13:AC13" si="11">SUM(B13,F13,J13,N13,R13,V13)</f>
        <v>574493.35</v>
      </c>
      <c r="AA13" s="31">
        <f t="shared" si="11"/>
        <v>615863.33</v>
      </c>
      <c r="AB13" s="31">
        <f t="shared" si="11"/>
        <v>652587.72</v>
      </c>
      <c r="AC13" s="31">
        <f t="shared" si="11"/>
        <v>665325.59</v>
      </c>
      <c r="AD13" s="37"/>
    </row>
    <row r="14">
      <c r="A14" s="94" t="s">
        <v>21</v>
      </c>
      <c r="B14" s="27">
        <v>11195.83</v>
      </c>
      <c r="C14" s="27">
        <v>11930.69</v>
      </c>
      <c r="D14" s="27">
        <v>12540.58</v>
      </c>
      <c r="E14" s="27">
        <v>13482.51</v>
      </c>
      <c r="F14" s="28">
        <v>60289.4</v>
      </c>
      <c r="G14" s="28">
        <v>64183.34</v>
      </c>
      <c r="H14" s="28">
        <v>67427.4</v>
      </c>
      <c r="I14" s="27">
        <v>73458.86</v>
      </c>
      <c r="J14" s="28">
        <v>186183.76</v>
      </c>
      <c r="K14" s="28">
        <v>193776.0</v>
      </c>
      <c r="L14" s="28">
        <v>200045.22</v>
      </c>
      <c r="M14" s="28">
        <v>200045.22</v>
      </c>
      <c r="N14" s="28">
        <v>28413.16</v>
      </c>
      <c r="O14" s="28">
        <v>30746.38</v>
      </c>
      <c r="P14" s="29">
        <v>32865.01</v>
      </c>
      <c r="Q14" s="29">
        <v>35902.46</v>
      </c>
      <c r="R14" s="30">
        <v>25420.79</v>
      </c>
      <c r="S14" s="30">
        <v>27455.79</v>
      </c>
      <c r="T14" s="30">
        <v>29153.89</v>
      </c>
      <c r="U14" s="30">
        <v>31091.49</v>
      </c>
      <c r="V14" s="27">
        <v>44748.26</v>
      </c>
      <c r="W14" s="27">
        <v>46496.44</v>
      </c>
      <c r="X14" s="27">
        <v>48278.29</v>
      </c>
      <c r="Y14" s="27">
        <v>51192.48</v>
      </c>
      <c r="Z14" s="31">
        <f t="shared" ref="Z14:AC14" si="12">SUM(B14,F14,J14,N14,R14,V14)</f>
        <v>356251.2</v>
      </c>
      <c r="AA14" s="31">
        <f t="shared" si="12"/>
        <v>374588.64</v>
      </c>
      <c r="AB14" s="31">
        <f t="shared" si="12"/>
        <v>390310.39</v>
      </c>
      <c r="AC14" s="31">
        <f t="shared" si="12"/>
        <v>405173.02</v>
      </c>
      <c r="AD14" s="37"/>
    </row>
    <row r="15">
      <c r="A15" s="94" t="s">
        <v>22</v>
      </c>
      <c r="B15" s="27">
        <v>1548.81</v>
      </c>
      <c r="C15" s="27">
        <v>1741.21</v>
      </c>
      <c r="D15" s="27">
        <v>1873.46</v>
      </c>
      <c r="E15" s="27">
        <v>1993.81</v>
      </c>
      <c r="F15" s="28">
        <v>7918.16</v>
      </c>
      <c r="G15" s="28">
        <v>8820.02</v>
      </c>
      <c r="H15" s="28">
        <v>9660.48</v>
      </c>
      <c r="I15" s="27">
        <v>10435.32</v>
      </c>
      <c r="J15" s="28">
        <v>271840.58</v>
      </c>
      <c r="K15" s="28">
        <v>302616.49</v>
      </c>
      <c r="L15" s="28">
        <v>323347.99</v>
      </c>
      <c r="M15" s="28">
        <v>323347.99</v>
      </c>
      <c r="N15" s="28">
        <v>10812.0</v>
      </c>
      <c r="O15" s="28">
        <v>12091.47</v>
      </c>
      <c r="P15" s="29">
        <v>13105.19</v>
      </c>
      <c r="Q15" s="29">
        <v>15660.5</v>
      </c>
      <c r="R15" s="30">
        <v>6259.7</v>
      </c>
      <c r="S15" s="30">
        <v>6975.59</v>
      </c>
      <c r="T15" s="30">
        <v>7783.77</v>
      </c>
      <c r="U15" s="30">
        <v>8561.14</v>
      </c>
      <c r="V15" s="27">
        <v>21396.64</v>
      </c>
      <c r="W15" s="27">
        <v>23816.58</v>
      </c>
      <c r="X15" s="27">
        <v>26186.87</v>
      </c>
      <c r="Y15" s="27">
        <v>29409.51</v>
      </c>
      <c r="Z15" s="31">
        <f t="shared" ref="Z15:AC15" si="13">SUM(B15,F15,J15,N15,R15,V15)</f>
        <v>319775.89</v>
      </c>
      <c r="AA15" s="31">
        <f t="shared" si="13"/>
        <v>356061.36</v>
      </c>
      <c r="AB15" s="31">
        <f t="shared" si="13"/>
        <v>381957.76</v>
      </c>
      <c r="AC15" s="31">
        <f t="shared" si="13"/>
        <v>389408.27</v>
      </c>
      <c r="AD15" s="37"/>
    </row>
    <row r="16">
      <c r="A16" s="93" t="s">
        <v>23</v>
      </c>
      <c r="B16" s="27">
        <v>12932.98</v>
      </c>
      <c r="C16" s="27">
        <v>13511.26</v>
      </c>
      <c r="D16" s="27">
        <v>14551.51</v>
      </c>
      <c r="E16" s="27">
        <v>15291.5</v>
      </c>
      <c r="F16" s="28">
        <v>15227.22</v>
      </c>
      <c r="G16" s="28">
        <v>16117.88</v>
      </c>
      <c r="H16" s="28">
        <v>19202.51</v>
      </c>
      <c r="I16" s="27">
        <v>20352.61</v>
      </c>
      <c r="J16" s="28">
        <v>145730.06</v>
      </c>
      <c r="K16" s="28">
        <v>148081.92</v>
      </c>
      <c r="L16" s="28">
        <v>157015.91</v>
      </c>
      <c r="M16" s="28">
        <v>157015.91</v>
      </c>
      <c r="N16" s="28">
        <v>44535.07</v>
      </c>
      <c r="O16" s="28">
        <v>46278.92</v>
      </c>
      <c r="P16" s="29">
        <v>50520.49</v>
      </c>
      <c r="Q16" s="29">
        <v>52827.96</v>
      </c>
      <c r="R16" s="30">
        <v>37421.33</v>
      </c>
      <c r="S16" s="30">
        <v>39955.0</v>
      </c>
      <c r="T16" s="30">
        <v>43959.71</v>
      </c>
      <c r="U16" s="30">
        <v>45763.61</v>
      </c>
      <c r="V16" s="27">
        <v>58448.68</v>
      </c>
      <c r="W16" s="27">
        <v>60369.97</v>
      </c>
      <c r="X16" s="27">
        <v>68203.9</v>
      </c>
      <c r="Y16" s="27">
        <v>71165.83</v>
      </c>
      <c r="Z16" s="31">
        <f t="shared" ref="Z16:AC16" si="14">SUM(B16,F16,J16,N16,R16,V16)</f>
        <v>314295.34</v>
      </c>
      <c r="AA16" s="31">
        <f t="shared" si="14"/>
        <v>324314.95</v>
      </c>
      <c r="AB16" s="31">
        <f t="shared" si="14"/>
        <v>353454.03</v>
      </c>
      <c r="AC16" s="31">
        <f t="shared" si="14"/>
        <v>362417.42</v>
      </c>
      <c r="AD16" s="37"/>
    </row>
    <row r="17">
      <c r="A17" s="94" t="s">
        <v>24</v>
      </c>
      <c r="B17" s="27">
        <v>13913.75</v>
      </c>
      <c r="C17" s="27">
        <v>15212.77</v>
      </c>
      <c r="D17" s="27">
        <v>16027.4</v>
      </c>
      <c r="E17" s="27">
        <v>17051.0</v>
      </c>
      <c r="F17" s="28">
        <v>24581.06</v>
      </c>
      <c r="G17" s="28">
        <v>26680.99</v>
      </c>
      <c r="H17" s="28">
        <v>29453.36</v>
      </c>
      <c r="I17" s="27">
        <v>31944.14</v>
      </c>
      <c r="J17" s="28">
        <v>149353.37</v>
      </c>
      <c r="K17" s="28">
        <v>150213.28</v>
      </c>
      <c r="L17" s="28">
        <v>159541.97</v>
      </c>
      <c r="M17" s="28">
        <v>159541.97</v>
      </c>
      <c r="N17" s="28">
        <v>80336.14</v>
      </c>
      <c r="O17" s="28">
        <v>86301.84</v>
      </c>
      <c r="P17" s="29">
        <v>92230.1</v>
      </c>
      <c r="Q17" s="29">
        <v>99553.07</v>
      </c>
      <c r="R17" s="30">
        <v>65985.53</v>
      </c>
      <c r="S17" s="30">
        <v>70550.28</v>
      </c>
      <c r="T17" s="30">
        <v>77978.57</v>
      </c>
      <c r="U17" s="30">
        <v>84860.79</v>
      </c>
      <c r="V17" s="27">
        <v>67704.93</v>
      </c>
      <c r="W17" s="27">
        <v>72543.67</v>
      </c>
      <c r="X17" s="27">
        <v>77115.59</v>
      </c>
      <c r="Y17" s="27">
        <v>83169.6</v>
      </c>
      <c r="Z17" s="31">
        <f t="shared" ref="Z17:AC17" si="15">SUM(B17,F17,J17,N17,R17,V17)</f>
        <v>401874.78</v>
      </c>
      <c r="AA17" s="31">
        <f t="shared" si="15"/>
        <v>421502.83</v>
      </c>
      <c r="AB17" s="31">
        <f t="shared" si="15"/>
        <v>452346.99</v>
      </c>
      <c r="AC17" s="31">
        <f t="shared" si="15"/>
        <v>476120.57</v>
      </c>
      <c r="AD17" s="37"/>
    </row>
    <row r="18">
      <c r="A18" s="94" t="s">
        <v>25</v>
      </c>
      <c r="B18" s="27">
        <v>5131.07</v>
      </c>
      <c r="C18" s="27">
        <v>5789.17</v>
      </c>
      <c r="D18" s="27">
        <v>6253.69</v>
      </c>
      <c r="E18" s="27">
        <v>6789.31</v>
      </c>
      <c r="F18" s="28">
        <v>10687.98</v>
      </c>
      <c r="G18" s="28" t="s">
        <v>30</v>
      </c>
      <c r="H18" s="28">
        <v>13208.08</v>
      </c>
      <c r="I18" s="27">
        <v>13840.12</v>
      </c>
      <c r="J18" s="28">
        <v>70997.34</v>
      </c>
      <c r="K18" s="28">
        <v>76588.42</v>
      </c>
      <c r="L18" s="28">
        <v>82004.51</v>
      </c>
      <c r="M18" s="28">
        <v>82004.51</v>
      </c>
      <c r="N18" s="28">
        <v>19157.24</v>
      </c>
      <c r="O18" s="28">
        <v>20978.21</v>
      </c>
      <c r="P18" s="29">
        <v>22908.96</v>
      </c>
      <c r="Q18" s="29">
        <v>25573.7</v>
      </c>
      <c r="R18" s="30">
        <v>14372.31</v>
      </c>
      <c r="S18" s="30">
        <v>15533.75</v>
      </c>
      <c r="T18" s="30">
        <v>16932.97</v>
      </c>
      <c r="U18" s="30">
        <v>18109.07</v>
      </c>
      <c r="V18" s="27">
        <v>18875.47</v>
      </c>
      <c r="W18" s="27">
        <v>20154.16</v>
      </c>
      <c r="X18" s="27">
        <v>21473.36</v>
      </c>
      <c r="Y18" s="27">
        <v>23719.81</v>
      </c>
      <c r="Z18" s="31">
        <f t="shared" ref="Z18:AC18" si="16">SUM(B18,F18,J18,N18,R18,V18)</f>
        <v>139221.41</v>
      </c>
      <c r="AA18" s="31">
        <f t="shared" si="16"/>
        <v>139043.71</v>
      </c>
      <c r="AB18" s="31">
        <f t="shared" si="16"/>
        <v>162781.57</v>
      </c>
      <c r="AC18" s="31">
        <f t="shared" si="16"/>
        <v>170036.52</v>
      </c>
      <c r="AD18" s="37"/>
    </row>
    <row r="19">
      <c r="A19" s="94" t="s">
        <v>26</v>
      </c>
      <c r="B19" s="27">
        <v>4721.76</v>
      </c>
      <c r="C19" s="27">
        <v>5293.81</v>
      </c>
      <c r="D19" s="27">
        <v>5548.53</v>
      </c>
      <c r="E19" s="27">
        <v>6186.01</v>
      </c>
      <c r="F19" s="28">
        <v>12163.45</v>
      </c>
      <c r="G19" s="28">
        <v>13971.78</v>
      </c>
      <c r="H19" s="28">
        <v>14903.65</v>
      </c>
      <c r="I19" s="27">
        <v>16027.73</v>
      </c>
      <c r="J19" s="28">
        <v>128238.43</v>
      </c>
      <c r="K19" s="28">
        <v>149693.7</v>
      </c>
      <c r="L19" s="28">
        <v>159695.26</v>
      </c>
      <c r="M19" s="28">
        <v>159695.26</v>
      </c>
      <c r="N19" s="28">
        <v>52154.05</v>
      </c>
      <c r="O19" s="28">
        <v>58490.22</v>
      </c>
      <c r="P19" s="29">
        <v>66839.94</v>
      </c>
      <c r="Q19" s="29">
        <v>79766.91</v>
      </c>
      <c r="R19" s="30">
        <v>24413.4</v>
      </c>
      <c r="S19" s="30">
        <v>27022.68</v>
      </c>
      <c r="T19" s="30">
        <v>29586.58</v>
      </c>
      <c r="U19" s="30">
        <v>32949.35</v>
      </c>
      <c r="V19" s="27">
        <v>35552.39</v>
      </c>
      <c r="W19" s="27">
        <v>40663.65</v>
      </c>
      <c r="X19" s="27">
        <v>45132.22</v>
      </c>
      <c r="Y19" s="27" t="s">
        <v>31</v>
      </c>
      <c r="Z19" s="31">
        <f t="shared" ref="Z19:AC19" si="17">SUM(B19,F19,J19,N19,R19,V19)</f>
        <v>257243.48</v>
      </c>
      <c r="AA19" s="31">
        <f t="shared" si="17"/>
        <v>295135.84</v>
      </c>
      <c r="AB19" s="31">
        <f t="shared" si="17"/>
        <v>321706.18</v>
      </c>
      <c r="AC19" s="31">
        <f t="shared" si="17"/>
        <v>294625.26</v>
      </c>
      <c r="AD19" s="37"/>
    </row>
    <row r="20">
      <c r="A20" s="95" t="s">
        <v>27</v>
      </c>
      <c r="B20" s="31">
        <f t="shared" ref="B20:Y20" si="18">sum(B3:B19)</f>
        <v>165724.52</v>
      </c>
      <c r="C20" s="31">
        <f t="shared" si="18"/>
        <v>180746.4</v>
      </c>
      <c r="D20" s="31">
        <f t="shared" si="18"/>
        <v>193561.95</v>
      </c>
      <c r="E20" s="31">
        <f t="shared" si="18"/>
        <v>208133.81</v>
      </c>
      <c r="F20" s="31">
        <f t="shared" si="18"/>
        <v>747223.58</v>
      </c>
      <c r="G20" s="31">
        <f t="shared" si="18"/>
        <v>802282.49</v>
      </c>
      <c r="H20" s="31">
        <f t="shared" si="18"/>
        <v>873626.26</v>
      </c>
      <c r="I20" s="31">
        <f t="shared" si="18"/>
        <v>936203.97</v>
      </c>
      <c r="J20" s="31">
        <f t="shared" si="18"/>
        <v>3188541.24</v>
      </c>
      <c r="K20" s="31">
        <f t="shared" si="18"/>
        <v>3443359.21</v>
      </c>
      <c r="L20" s="31">
        <f t="shared" si="18"/>
        <v>3679708.73</v>
      </c>
      <c r="M20" s="31">
        <f t="shared" si="18"/>
        <v>3679708.73</v>
      </c>
      <c r="N20" s="31">
        <f t="shared" si="18"/>
        <v>2422782.32</v>
      </c>
      <c r="O20" s="31">
        <f t="shared" si="18"/>
        <v>2625218.59</v>
      </c>
      <c r="P20" s="31">
        <f t="shared" si="18"/>
        <v>2823338.73</v>
      </c>
      <c r="Q20" s="31">
        <f t="shared" si="18"/>
        <v>3038668.11</v>
      </c>
      <c r="R20" s="31">
        <f t="shared" si="18"/>
        <v>1559140.35</v>
      </c>
      <c r="S20" s="31">
        <f t="shared" si="18"/>
        <v>1695427.92</v>
      </c>
      <c r="T20" s="31">
        <f t="shared" si="18"/>
        <v>1817710.81</v>
      </c>
      <c r="U20" s="31">
        <f t="shared" si="18"/>
        <v>1943187.64</v>
      </c>
      <c r="V20" s="31">
        <f t="shared" si="18"/>
        <v>2731423.65</v>
      </c>
      <c r="W20" s="31">
        <f t="shared" si="18"/>
        <v>2953546.99</v>
      </c>
      <c r="X20" s="31">
        <f t="shared" si="18"/>
        <v>3168295.57</v>
      </c>
      <c r="Y20" s="31">
        <f t="shared" si="18"/>
        <v>3352066.9</v>
      </c>
      <c r="Z20" s="31">
        <f>SUM(B20,F20,J20,N20,R20,V20)</f>
        <v>10814835.66</v>
      </c>
      <c r="AA20" s="31">
        <f t="shared" ref="AA20:AC20" si="19">sum(AA3:AA19)</f>
        <v>11700581.6</v>
      </c>
      <c r="AB20" s="31">
        <f t="shared" si="19"/>
        <v>12556242.05</v>
      </c>
      <c r="AC20" s="31">
        <f t="shared" si="19"/>
        <v>13157969.16</v>
      </c>
      <c r="AD20" s="37"/>
    </row>
    <row r="21">
      <c r="A21" s="36"/>
      <c r="B21" s="32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</row>
    <row r="22">
      <c r="A22" s="36"/>
      <c r="B22" s="32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>
      <c r="A23" s="36"/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37"/>
      <c r="P23" s="37"/>
      <c r="Q23" s="37"/>
      <c r="R23" s="37"/>
      <c r="S23" s="37"/>
      <c r="T23" s="37"/>
      <c r="U23" s="37"/>
      <c r="V23" s="98"/>
      <c r="W23" s="37"/>
      <c r="X23" s="37"/>
      <c r="Y23" s="37"/>
      <c r="Z23" s="37"/>
      <c r="AA23" s="37"/>
      <c r="AB23" s="37"/>
      <c r="AC23" s="37"/>
      <c r="AD23" s="37"/>
    </row>
    <row r="24">
      <c r="A24" s="99" t="s">
        <v>39</v>
      </c>
      <c r="B24" s="92" t="s">
        <v>1</v>
      </c>
      <c r="C24" s="3"/>
      <c r="D24" s="3"/>
      <c r="E24" s="4"/>
      <c r="F24" s="23" t="s">
        <v>34</v>
      </c>
      <c r="G24" s="3"/>
      <c r="H24" s="3"/>
      <c r="I24" s="4"/>
      <c r="J24" s="92" t="s">
        <v>35</v>
      </c>
      <c r="K24" s="3"/>
      <c r="L24" s="3"/>
      <c r="M24" s="4"/>
      <c r="N24" s="100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>
      <c r="A25" s="7"/>
      <c r="B25" s="25">
        <v>2022.0</v>
      </c>
      <c r="C25" s="25">
        <v>2023.0</v>
      </c>
      <c r="D25" s="25">
        <v>2024.0</v>
      </c>
      <c r="E25" s="25">
        <v>2025.0</v>
      </c>
      <c r="F25" s="25">
        <v>2022.0</v>
      </c>
      <c r="G25" s="25">
        <v>2023.0</v>
      </c>
      <c r="H25" s="25">
        <v>2024.0</v>
      </c>
      <c r="I25" s="25">
        <v>2025.0</v>
      </c>
      <c r="J25" s="25">
        <v>2022.0</v>
      </c>
      <c r="K25" s="25">
        <v>2023.0</v>
      </c>
      <c r="L25" s="25">
        <v>2024.0</v>
      </c>
      <c r="M25" s="25">
        <v>2025.0</v>
      </c>
      <c r="N25" s="100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>
      <c r="A26" s="93" t="s">
        <v>10</v>
      </c>
      <c r="B26" s="101">
        <f t="shared" ref="B26:E26" si="20">B3/B$20</f>
        <v>0.09971837601</v>
      </c>
      <c r="C26" s="102">
        <f t="shared" si="20"/>
        <v>0.1025819601</v>
      </c>
      <c r="D26" s="102">
        <f t="shared" si="20"/>
        <v>0.09953748658</v>
      </c>
      <c r="E26" s="102">
        <f t="shared" si="20"/>
        <v>0.1012933939</v>
      </c>
      <c r="F26" s="102">
        <f t="shared" ref="F26:F42" si="24">Z3/Z$20</f>
        <v>0.07266174029</v>
      </c>
      <c r="G26" s="102">
        <f t="shared" ref="G26:G42" si="25">Z3/Z$20</f>
        <v>0.07266174029</v>
      </c>
      <c r="H26" s="102">
        <f t="shared" ref="H26:I26" si="21">AB3/AB$20</f>
        <v>0.07040917788</v>
      </c>
      <c r="I26" s="102">
        <f t="shared" si="21"/>
        <v>0.07347804804</v>
      </c>
      <c r="J26" s="102">
        <f t="shared" ref="J26:M26" si="22">B26/F26</f>
        <v>1.372364268</v>
      </c>
      <c r="K26" s="102">
        <f t="shared" si="22"/>
        <v>1.411774061</v>
      </c>
      <c r="L26" s="102">
        <f t="shared" si="22"/>
        <v>1.413700452</v>
      </c>
      <c r="M26" s="102">
        <f t="shared" si="22"/>
        <v>1.378553141</v>
      </c>
      <c r="N26" s="103"/>
      <c r="O26" s="104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>
      <c r="A27" s="94" t="s">
        <v>11</v>
      </c>
      <c r="B27" s="101">
        <f t="shared" ref="B27:E27" si="23">B4/B$20</f>
        <v>0.004306966766</v>
      </c>
      <c r="C27" s="102">
        <f t="shared" si="23"/>
        <v>0.004425648312</v>
      </c>
      <c r="D27" s="102">
        <f t="shared" si="23"/>
        <v>0.004501659546</v>
      </c>
      <c r="E27" s="102">
        <f t="shared" si="23"/>
        <v>0.003801736969</v>
      </c>
      <c r="F27" s="102">
        <f t="shared" si="24"/>
        <v>0.01833077046</v>
      </c>
      <c r="G27" s="102">
        <f t="shared" si="25"/>
        <v>0.01833077046</v>
      </c>
      <c r="H27" s="102">
        <f t="shared" ref="H27:I27" si="26">AB4/AB$20</f>
        <v>0.0151181579</v>
      </c>
      <c r="I27" s="102">
        <f t="shared" si="26"/>
        <v>0.01453155633</v>
      </c>
      <c r="J27" s="102">
        <f t="shared" ref="J27:M27" si="27">B27/F27</f>
        <v>0.2349583056</v>
      </c>
      <c r="K27" s="102">
        <f t="shared" si="27"/>
        <v>0.2414327495</v>
      </c>
      <c r="L27" s="102">
        <f t="shared" si="27"/>
        <v>0.2977650832</v>
      </c>
      <c r="M27" s="102">
        <f t="shared" si="27"/>
        <v>0.2616193946</v>
      </c>
      <c r="N27" s="97"/>
      <c r="O27" s="104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</row>
    <row r="28">
      <c r="A28" s="94" t="s">
        <v>12</v>
      </c>
      <c r="B28" s="101">
        <f t="shared" ref="B28:E28" si="28">B5/B$20</f>
        <v>0.1193273029</v>
      </c>
      <c r="C28" s="102">
        <f t="shared" si="28"/>
        <v>0.1181356309</v>
      </c>
      <c r="D28" s="102">
        <f t="shared" si="28"/>
        <v>0.1184507079</v>
      </c>
      <c r="E28" s="102">
        <f t="shared" si="28"/>
        <v>0.1179642077</v>
      </c>
      <c r="F28" s="102">
        <f t="shared" si="24"/>
        <v>0.2798596572</v>
      </c>
      <c r="G28" s="102">
        <f t="shared" si="25"/>
        <v>0.2798596572</v>
      </c>
      <c r="H28" s="102">
        <f t="shared" ref="H28:I28" si="29">AB5/AB$20</f>
        <v>0.2764938193</v>
      </c>
      <c r="I28" s="102">
        <f t="shared" si="29"/>
        <v>0.2793023312</v>
      </c>
      <c r="J28" s="102">
        <f t="shared" ref="J28:M28" si="30">B28/F28</f>
        <v>0.4263826524</v>
      </c>
      <c r="K28" s="102">
        <f t="shared" si="30"/>
        <v>0.4221245467</v>
      </c>
      <c r="L28" s="102">
        <f t="shared" si="30"/>
        <v>0.4284027333</v>
      </c>
      <c r="M28" s="102">
        <f t="shared" si="30"/>
        <v>0.4223531083</v>
      </c>
      <c r="N28" s="97"/>
      <c r="O28" s="104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</row>
    <row r="29">
      <c r="A29" s="94" t="s">
        <v>13</v>
      </c>
      <c r="B29" s="101">
        <f t="shared" ref="B29:E29" si="31">B6/B$20</f>
        <v>0.001349106336</v>
      </c>
      <c r="C29" s="102">
        <f t="shared" si="31"/>
        <v>0.001383153413</v>
      </c>
      <c r="D29" s="102">
        <f t="shared" si="31"/>
        <v>0.001433959515</v>
      </c>
      <c r="E29" s="102">
        <f t="shared" si="31"/>
        <v>0.001404000628</v>
      </c>
      <c r="F29" s="102">
        <f t="shared" si="24"/>
        <v>0.003917833921</v>
      </c>
      <c r="G29" s="102">
        <f t="shared" si="25"/>
        <v>0.003917833921</v>
      </c>
      <c r="H29" s="102">
        <f t="shared" ref="H29:I29" si="32">AB6/AB$20</f>
        <v>0.003317424898</v>
      </c>
      <c r="I29" s="102">
        <f t="shared" si="32"/>
        <v>0.003312007307</v>
      </c>
      <c r="J29" s="102">
        <f t="shared" ref="J29:M29" si="33">B29/F29</f>
        <v>0.3443500576</v>
      </c>
      <c r="K29" s="102">
        <f t="shared" si="33"/>
        <v>0.3530403383</v>
      </c>
      <c r="L29" s="102">
        <f t="shared" si="33"/>
        <v>0.4322507847</v>
      </c>
      <c r="M29" s="102">
        <f t="shared" si="33"/>
        <v>0.423912298</v>
      </c>
      <c r="N29" s="97"/>
      <c r="O29" s="104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</row>
    <row r="30">
      <c r="A30" s="93" t="s">
        <v>14</v>
      </c>
      <c r="B30" s="101">
        <f t="shared" ref="B30:E30" si="34">B7/B$20</f>
        <v>0.000980965279</v>
      </c>
      <c r="C30" s="102">
        <f t="shared" si="34"/>
        <v>0.0009514988957</v>
      </c>
      <c r="D30" s="102">
        <f t="shared" si="34"/>
        <v>0.000900073594</v>
      </c>
      <c r="E30" s="102">
        <f t="shared" si="34"/>
        <v>0.0008373459363</v>
      </c>
      <c r="F30" s="102">
        <f t="shared" si="24"/>
        <v>0.0007051850106</v>
      </c>
      <c r="G30" s="102">
        <f t="shared" si="25"/>
        <v>0.0007051850106</v>
      </c>
      <c r="H30" s="102">
        <f t="shared" ref="H30:I30" si="35">AB7/AB$20</f>
        <v>0.0006832744993</v>
      </c>
      <c r="I30" s="102">
        <f t="shared" si="35"/>
        <v>0.0006837658525</v>
      </c>
      <c r="J30" s="102">
        <f t="shared" ref="J30:M30" si="36">B30/F30</f>
        <v>1.391075057</v>
      </c>
      <c r="K30" s="102">
        <f t="shared" si="36"/>
        <v>1.349289734</v>
      </c>
      <c r="L30" s="102">
        <f t="shared" si="36"/>
        <v>1.317294286</v>
      </c>
      <c r="M30" s="102">
        <f t="shared" si="36"/>
        <v>1.224609175</v>
      </c>
      <c r="N30" s="97"/>
      <c r="O30" s="104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</row>
    <row r="31">
      <c r="A31" s="94" t="s">
        <v>15</v>
      </c>
      <c r="B31" s="101">
        <f t="shared" ref="B31:E31" si="37">B8/B$20</f>
        <v>0.09920167517</v>
      </c>
      <c r="C31" s="102">
        <f t="shared" si="37"/>
        <v>0.09425886214</v>
      </c>
      <c r="D31" s="102">
        <f t="shared" si="37"/>
        <v>0.0962359596</v>
      </c>
      <c r="E31" s="102">
        <f t="shared" si="37"/>
        <v>0.09811289189</v>
      </c>
      <c r="F31" s="102">
        <f t="shared" si="24"/>
        <v>0.09994591171</v>
      </c>
      <c r="G31" s="102">
        <f t="shared" si="25"/>
        <v>0.09994591171</v>
      </c>
      <c r="H31" s="102">
        <f t="shared" ref="H31:I31" si="38">AB8/AB$20</f>
        <v>0.0996922459</v>
      </c>
      <c r="I31" s="102">
        <f t="shared" si="38"/>
        <v>0.09943941987</v>
      </c>
      <c r="J31" s="102">
        <f t="shared" ref="J31:M31" si="39">B31/F31</f>
        <v>0.992553607</v>
      </c>
      <c r="K31" s="102">
        <f t="shared" si="39"/>
        <v>0.9430987274</v>
      </c>
      <c r="L31" s="102">
        <f t="shared" si="39"/>
        <v>0.96533044</v>
      </c>
      <c r="M31" s="102">
        <f t="shared" si="39"/>
        <v>0.9866599385</v>
      </c>
      <c r="N31" s="103"/>
      <c r="O31" s="104"/>
      <c r="P31" s="104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</row>
    <row r="32">
      <c r="A32" s="94" t="s">
        <v>16</v>
      </c>
      <c r="B32" s="101">
        <f t="shared" ref="B32:E32" si="40">B9/B$20</f>
        <v>0.08253190294</v>
      </c>
      <c r="C32" s="102">
        <f t="shared" si="40"/>
        <v>0.08170951123</v>
      </c>
      <c r="D32" s="102">
        <f t="shared" si="40"/>
        <v>0.08071436561</v>
      </c>
      <c r="E32" s="102">
        <f t="shared" si="40"/>
        <v>0.0805326631</v>
      </c>
      <c r="F32" s="102">
        <f t="shared" si="24"/>
        <v>0.1603248486</v>
      </c>
      <c r="G32" s="102">
        <f t="shared" si="25"/>
        <v>0.1603248486</v>
      </c>
      <c r="H32" s="102">
        <f t="shared" ref="H32:I32" si="41">AB9/AB$20</f>
        <v>0.1621296971</v>
      </c>
      <c r="I32" s="102">
        <f t="shared" si="41"/>
        <v>0.1615932029</v>
      </c>
      <c r="J32" s="102">
        <f t="shared" ref="J32:M32" si="42">B32/F32</f>
        <v>0.5147792351</v>
      </c>
      <c r="K32" s="102">
        <f t="shared" si="42"/>
        <v>0.5096497014</v>
      </c>
      <c r="L32" s="102">
        <f t="shared" si="42"/>
        <v>0.4978382558</v>
      </c>
      <c r="M32" s="102">
        <f t="shared" si="42"/>
        <v>0.4983666495</v>
      </c>
      <c r="N32" s="97"/>
      <c r="O32" s="104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</row>
    <row r="33">
      <c r="A33" s="94" t="s">
        <v>17</v>
      </c>
      <c r="B33" s="101">
        <f t="shared" ref="B33:E33" si="43">B10/B$20</f>
        <v>0.0511906144</v>
      </c>
      <c r="C33" s="102">
        <f t="shared" si="43"/>
        <v>0.05607519707</v>
      </c>
      <c r="D33" s="102">
        <f t="shared" si="43"/>
        <v>0.05829100192</v>
      </c>
      <c r="E33" s="102">
        <f t="shared" si="43"/>
        <v>0.05733691225</v>
      </c>
      <c r="F33" s="102">
        <f t="shared" si="24"/>
        <v>0.04554024818</v>
      </c>
      <c r="G33" s="102">
        <f t="shared" si="25"/>
        <v>0.04554024818</v>
      </c>
      <c r="H33" s="102">
        <f t="shared" ref="H33:I33" si="44">AB10/AB$20</f>
        <v>0.05267524132</v>
      </c>
      <c r="I33" s="102">
        <f t="shared" si="44"/>
        <v>0.05358971597</v>
      </c>
      <c r="J33" s="102">
        <f t="shared" ref="J33:M33" si="45">B33/F33</f>
        <v>1.12407412</v>
      </c>
      <c r="K33" s="102">
        <f t="shared" si="45"/>
        <v>1.231332707</v>
      </c>
      <c r="L33" s="102">
        <f t="shared" si="45"/>
        <v>1.106611009</v>
      </c>
      <c r="M33" s="102">
        <f t="shared" si="45"/>
        <v>1.069923794</v>
      </c>
      <c r="N33" s="103"/>
      <c r="O33" s="104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</row>
    <row r="34">
      <c r="A34" s="94" t="s">
        <v>18</v>
      </c>
      <c r="B34" s="101">
        <f t="shared" ref="B34:E34" si="46">B11/B$20</f>
        <v>0.09880517379</v>
      </c>
      <c r="C34" s="102">
        <f t="shared" si="46"/>
        <v>0.101921532</v>
      </c>
      <c r="D34" s="102">
        <f t="shared" si="46"/>
        <v>0.1060875859</v>
      </c>
      <c r="E34" s="102">
        <f t="shared" si="46"/>
        <v>0.1091291703</v>
      </c>
      <c r="F34" s="102">
        <f t="shared" si="24"/>
        <v>0.0418512231</v>
      </c>
      <c r="G34" s="102">
        <f t="shared" si="25"/>
        <v>0.0418512231</v>
      </c>
      <c r="H34" s="102">
        <f t="shared" ref="H34:I34" si="47">AB11/AB$20</f>
        <v>0.04469692268</v>
      </c>
      <c r="I34" s="102">
        <f t="shared" si="47"/>
        <v>0.04579572141</v>
      </c>
      <c r="J34" s="102">
        <f t="shared" ref="J34:M34" si="48">B34/F34</f>
        <v>2.360867054</v>
      </c>
      <c r="K34" s="102">
        <f t="shared" si="48"/>
        <v>2.43532983</v>
      </c>
      <c r="L34" s="102">
        <f t="shared" si="48"/>
        <v>2.37348747</v>
      </c>
      <c r="M34" s="102">
        <f t="shared" si="48"/>
        <v>2.38295559</v>
      </c>
      <c r="N34" s="103"/>
      <c r="O34" s="104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>
      <c r="A35" s="94" t="s">
        <v>19</v>
      </c>
      <c r="B35" s="101">
        <f t="shared" ref="B35:E35" si="49">B12/B$20</f>
        <v>0.1030213272</v>
      </c>
      <c r="C35" s="102">
        <f t="shared" si="49"/>
        <v>0.1001960758</v>
      </c>
      <c r="D35" s="102">
        <f t="shared" si="49"/>
        <v>0.09780393306</v>
      </c>
      <c r="E35" s="102">
        <f t="shared" si="49"/>
        <v>0.09636219123</v>
      </c>
      <c r="F35" s="102">
        <f t="shared" si="24"/>
        <v>0.05835205359</v>
      </c>
      <c r="G35" s="102">
        <f t="shared" si="25"/>
        <v>0.05835205359</v>
      </c>
      <c r="H35" s="102">
        <f t="shared" ref="H35:I35" si="50">AB12/AB$20</f>
        <v>0.05854540372</v>
      </c>
      <c r="I35" s="102">
        <f t="shared" si="50"/>
        <v>0.05827931352</v>
      </c>
      <c r="J35" s="102">
        <f t="shared" ref="J35:M35" si="51">B35/F35</f>
        <v>1.765513309</v>
      </c>
      <c r="K35" s="102">
        <f t="shared" si="51"/>
        <v>1.717095966</v>
      </c>
      <c r="L35" s="102">
        <f t="shared" si="51"/>
        <v>1.670565524</v>
      </c>
      <c r="M35" s="102">
        <f t="shared" si="51"/>
        <v>1.653454466</v>
      </c>
      <c r="N35" s="103"/>
      <c r="O35" s="104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>
      <c r="A36" s="94" t="s">
        <v>20</v>
      </c>
      <c r="B36" s="101">
        <f t="shared" ref="B36:E36" si="52">B13/B$20</f>
        <v>0.04121484256</v>
      </c>
      <c r="C36" s="102">
        <f t="shared" si="52"/>
        <v>0.04248278251</v>
      </c>
      <c r="D36" s="102">
        <f t="shared" si="52"/>
        <v>0.04262211659</v>
      </c>
      <c r="E36" s="102">
        <f t="shared" si="52"/>
        <v>0.04113387441</v>
      </c>
      <c r="F36" s="102">
        <f t="shared" si="24"/>
        <v>0.05312085806</v>
      </c>
      <c r="G36" s="102">
        <f t="shared" si="25"/>
        <v>0.05312085806</v>
      </c>
      <c r="H36" s="102">
        <f t="shared" ref="H36:I36" si="53">AB13/AB$20</f>
        <v>0.05197317138</v>
      </c>
      <c r="I36" s="102">
        <f t="shared" si="53"/>
        <v>0.05056445884</v>
      </c>
      <c r="J36" s="102">
        <f t="shared" ref="J36:M36" si="54">B36/F36</f>
        <v>0.7758692925</v>
      </c>
      <c r="K36" s="102">
        <f t="shared" si="54"/>
        <v>0.7997382584</v>
      </c>
      <c r="L36" s="102">
        <f t="shared" si="54"/>
        <v>0.8200791957</v>
      </c>
      <c r="M36" s="102">
        <f t="shared" si="54"/>
        <v>0.8134938126</v>
      </c>
      <c r="N36" s="97"/>
      <c r="O36" s="104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</row>
    <row r="37">
      <c r="A37" s="94" t="s">
        <v>21</v>
      </c>
      <c r="B37" s="101">
        <f t="shared" ref="B37:E37" si="55">B14/B$20</f>
        <v>0.06755687088</v>
      </c>
      <c r="C37" s="102">
        <f t="shared" si="55"/>
        <v>0.06600789836</v>
      </c>
      <c r="D37" s="102">
        <f t="shared" si="55"/>
        <v>0.06478845662</v>
      </c>
      <c r="E37" s="102">
        <f t="shared" si="55"/>
        <v>0.06477808675</v>
      </c>
      <c r="F37" s="102">
        <f t="shared" si="24"/>
        <v>0.03294097212</v>
      </c>
      <c r="G37" s="102">
        <f t="shared" si="25"/>
        <v>0.03294097212</v>
      </c>
      <c r="H37" s="102">
        <f t="shared" ref="H37:I37" si="56">AB14/AB$20</f>
        <v>0.03108496861</v>
      </c>
      <c r="I37" s="102">
        <f t="shared" si="56"/>
        <v>0.03079297535</v>
      </c>
      <c r="J37" s="102">
        <f t="shared" ref="J37:M37" si="57">B37/F37</f>
        <v>2.050846303</v>
      </c>
      <c r="K37" s="102">
        <f t="shared" si="57"/>
        <v>2.003823631</v>
      </c>
      <c r="L37" s="102">
        <f t="shared" si="57"/>
        <v>2.084237479</v>
      </c>
      <c r="M37" s="102">
        <f t="shared" si="57"/>
        <v>2.103664424</v>
      </c>
      <c r="N37" s="97"/>
      <c r="O37" s="104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</row>
    <row r="38">
      <c r="A38" s="94" t="s">
        <v>22</v>
      </c>
      <c r="B38" s="101">
        <f t="shared" ref="B38:E38" si="58">B15/B$20</f>
        <v>0.009345690064</v>
      </c>
      <c r="C38" s="102">
        <f t="shared" si="58"/>
        <v>0.009633442215</v>
      </c>
      <c r="D38" s="102">
        <f t="shared" si="58"/>
        <v>0.009678865087</v>
      </c>
      <c r="E38" s="102">
        <f t="shared" si="58"/>
        <v>0.009579462366</v>
      </c>
      <c r="F38" s="102">
        <f t="shared" si="24"/>
        <v>0.0295682616</v>
      </c>
      <c r="G38" s="102">
        <f t="shared" si="25"/>
        <v>0.0295682616</v>
      </c>
      <c r="H38" s="102">
        <f t="shared" ref="H38:I38" si="59">AB15/AB$20</f>
        <v>0.03041975127</v>
      </c>
      <c r="I38" s="102">
        <f t="shared" si="59"/>
        <v>0.02959486113</v>
      </c>
      <c r="J38" s="102">
        <f t="shared" ref="J38:M38" si="60">B38/F38</f>
        <v>0.3160716781</v>
      </c>
      <c r="K38" s="102">
        <f t="shared" si="60"/>
        <v>0.3258034694</v>
      </c>
      <c r="L38" s="102">
        <f t="shared" si="60"/>
        <v>0.3181769963</v>
      </c>
      <c r="M38" s="102">
        <f t="shared" si="60"/>
        <v>0.3236866808</v>
      </c>
      <c r="N38" s="97"/>
      <c r="O38" s="104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</row>
    <row r="39">
      <c r="A39" s="93" t="s">
        <v>23</v>
      </c>
      <c r="B39" s="101">
        <f t="shared" ref="B39:E39" si="61">B16/B$20</f>
        <v>0.07803902525</v>
      </c>
      <c r="C39" s="102">
        <f t="shared" si="61"/>
        <v>0.07475258152</v>
      </c>
      <c r="D39" s="102">
        <f t="shared" si="61"/>
        <v>0.0751775336</v>
      </c>
      <c r="E39" s="102">
        <f t="shared" si="61"/>
        <v>0.07346956268</v>
      </c>
      <c r="F39" s="102">
        <f t="shared" si="24"/>
        <v>0.0290614994</v>
      </c>
      <c r="G39" s="102">
        <f t="shared" si="25"/>
        <v>0.0290614994</v>
      </c>
      <c r="H39" s="102">
        <f t="shared" ref="H39:I39" si="62">AB16/AB$20</f>
        <v>0.0281496668</v>
      </c>
      <c r="I39" s="102">
        <f t="shared" si="62"/>
        <v>0.02754356813</v>
      </c>
      <c r="J39" s="102">
        <f t="shared" ref="J39:M39" si="63">B39/F39</f>
        <v>2.685306225</v>
      </c>
      <c r="K39" s="102">
        <f t="shared" si="63"/>
        <v>2.572220397</v>
      </c>
      <c r="L39" s="102">
        <f t="shared" si="63"/>
        <v>2.670636712</v>
      </c>
      <c r="M39" s="102">
        <f t="shared" si="63"/>
        <v>2.66739452</v>
      </c>
      <c r="N39" s="97"/>
      <c r="O39" s="104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</row>
    <row r="40">
      <c r="A40" s="94" t="s">
        <v>24</v>
      </c>
      <c r="B40" s="101">
        <f t="shared" ref="B40:E40" si="64">B17/B$20</f>
        <v>0.08395709941</v>
      </c>
      <c r="C40" s="102">
        <f t="shared" si="64"/>
        <v>0.08416637897</v>
      </c>
      <c r="D40" s="102">
        <f t="shared" si="64"/>
        <v>0.08280243095</v>
      </c>
      <c r="E40" s="102">
        <f t="shared" si="64"/>
        <v>0.08192325889</v>
      </c>
      <c r="F40" s="102">
        <f t="shared" si="24"/>
        <v>0.03715958269</v>
      </c>
      <c r="G40" s="102">
        <f t="shared" si="25"/>
        <v>0.03715958269</v>
      </c>
      <c r="H40" s="102">
        <f t="shared" ref="H40:I40" si="65">AB17/AB$20</f>
        <v>0.03602566661</v>
      </c>
      <c r="I40" s="102">
        <f t="shared" si="65"/>
        <v>0.03618495865</v>
      </c>
      <c r="J40" s="102">
        <f t="shared" ref="J40:M40" si="66">B40/F40</f>
        <v>2.259366046</v>
      </c>
      <c r="K40" s="102">
        <f t="shared" si="66"/>
        <v>2.264997959</v>
      </c>
      <c r="L40" s="102">
        <f t="shared" si="66"/>
        <v>2.298428835</v>
      </c>
      <c r="M40" s="102">
        <f t="shared" si="66"/>
        <v>2.264014163</v>
      </c>
      <c r="N40" s="103"/>
      <c r="O40" s="104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</row>
    <row r="41">
      <c r="A41" s="94" t="s">
        <v>25</v>
      </c>
      <c r="B41" s="101">
        <f t="shared" ref="B41:E41" si="67">B18/B$20</f>
        <v>0.03096144131</v>
      </c>
      <c r="C41" s="102">
        <f t="shared" si="67"/>
        <v>0.03202924097</v>
      </c>
      <c r="D41" s="102">
        <f t="shared" si="67"/>
        <v>0.03230846765</v>
      </c>
      <c r="E41" s="102">
        <f t="shared" si="67"/>
        <v>0.0326199285</v>
      </c>
      <c r="F41" s="102">
        <f t="shared" si="24"/>
        <v>0.01287318776</v>
      </c>
      <c r="G41" s="102">
        <f t="shared" si="25"/>
        <v>0.01287318776</v>
      </c>
      <c r="H41" s="102">
        <f t="shared" ref="H41:I41" si="68">AB18/AB$20</f>
        <v>0.01296419497</v>
      </c>
      <c r="I41" s="102">
        <f t="shared" si="68"/>
        <v>0.01292270243</v>
      </c>
      <c r="J41" s="102">
        <f t="shared" ref="J41:M41" si="69">B41/F41</f>
        <v>2.405110677</v>
      </c>
      <c r="K41" s="102">
        <f t="shared" si="69"/>
        <v>2.488058248</v>
      </c>
      <c r="L41" s="102">
        <f t="shared" si="69"/>
        <v>2.492130651</v>
      </c>
      <c r="M41" s="102">
        <f t="shared" si="69"/>
        <v>2.524234283</v>
      </c>
      <c r="N41" s="103"/>
      <c r="O41" s="104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</row>
    <row r="42">
      <c r="A42" s="94" t="s">
        <v>26</v>
      </c>
      <c r="B42" s="101">
        <f t="shared" ref="B42:E42" si="70">B19/B$20</f>
        <v>0.02849161971</v>
      </c>
      <c r="C42" s="102">
        <f t="shared" si="70"/>
        <v>0.02928860547</v>
      </c>
      <c r="D42" s="102">
        <f t="shared" si="70"/>
        <v>0.02866539627</v>
      </c>
      <c r="E42" s="102">
        <f t="shared" si="70"/>
        <v>0.02972131246</v>
      </c>
      <c r="F42" s="102">
        <f t="shared" si="24"/>
        <v>0.02378616634</v>
      </c>
      <c r="G42" s="102">
        <f t="shared" si="25"/>
        <v>0.02378616634</v>
      </c>
      <c r="H42" s="102">
        <f t="shared" ref="H42:I42" si="71">AB19/AB$20</f>
        <v>0.02562121523</v>
      </c>
      <c r="I42" s="102">
        <f t="shared" si="71"/>
        <v>0.02239139311</v>
      </c>
      <c r="J42" s="102">
        <f t="shared" ref="J42:M42" si="72">B42/F42</f>
        <v>1.197823108</v>
      </c>
      <c r="K42" s="102">
        <f t="shared" si="72"/>
        <v>1.231329381</v>
      </c>
      <c r="L42" s="102">
        <f t="shared" si="72"/>
        <v>1.118814858</v>
      </c>
      <c r="M42" s="102">
        <f t="shared" si="72"/>
        <v>1.327354324</v>
      </c>
      <c r="N42" s="103"/>
      <c r="O42" s="104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</row>
    <row r="43">
      <c r="A43" s="105" t="s">
        <v>27</v>
      </c>
      <c r="B43" s="101">
        <f t="shared" ref="B43:I43" si="73">SUM(B26:B42)</f>
        <v>1</v>
      </c>
      <c r="C43" s="101">
        <f t="shared" si="73"/>
        <v>1</v>
      </c>
      <c r="D43" s="101">
        <f t="shared" si="73"/>
        <v>1</v>
      </c>
      <c r="E43" s="101">
        <f t="shared" si="73"/>
        <v>1</v>
      </c>
      <c r="F43" s="101">
        <f t="shared" si="73"/>
        <v>1</v>
      </c>
      <c r="G43" s="101">
        <f t="shared" si="73"/>
        <v>1</v>
      </c>
      <c r="H43" s="101">
        <f t="shared" si="73"/>
        <v>1</v>
      </c>
      <c r="I43" s="101">
        <f t="shared" si="73"/>
        <v>1</v>
      </c>
      <c r="J43" s="106">
        <f t="shared" ref="J43:M43" si="74">B43/F43</f>
        <v>1</v>
      </c>
      <c r="K43" s="106">
        <f t="shared" si="74"/>
        <v>1</v>
      </c>
      <c r="L43" s="106">
        <f t="shared" si="74"/>
        <v>1</v>
      </c>
      <c r="M43" s="106">
        <f t="shared" si="74"/>
        <v>1</v>
      </c>
      <c r="N43" s="9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>
      <c r="A44" s="36"/>
      <c r="B44" s="32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>
      <c r="A45" s="36"/>
      <c r="B45" s="32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</row>
    <row r="46">
      <c r="A46" s="107" t="s">
        <v>36</v>
      </c>
      <c r="B46" s="32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</row>
    <row r="47">
      <c r="A47" s="107" t="s">
        <v>37</v>
      </c>
      <c r="B47" s="32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</row>
    <row r="48">
      <c r="A48" s="107" t="s">
        <v>38</v>
      </c>
      <c r="B48" s="32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</row>
    <row r="49">
      <c r="A49" s="36"/>
      <c r="B49" s="32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</row>
    <row r="50">
      <c r="A50" s="36"/>
      <c r="B50" s="32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</row>
    <row r="51">
      <c r="A51" s="36"/>
      <c r="B51" s="32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</row>
    <row r="52">
      <c r="A52" s="36"/>
      <c r="B52" s="32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>
      <c r="A53" s="36"/>
      <c r="B53" s="32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>
      <c r="A54" s="36"/>
      <c r="B54" s="32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>
      <c r="A55" s="36"/>
      <c r="B55" s="32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>
      <c r="A56" s="36"/>
      <c r="B56" s="32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>
      <c r="A57" s="36"/>
      <c r="B57" s="32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>
      <c r="A58" s="36"/>
      <c r="B58" s="32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>
      <c r="A59" s="36"/>
      <c r="B59" s="32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>
      <c r="A60" s="36"/>
      <c r="B60" s="32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>
      <c r="A61" s="36"/>
      <c r="B61" s="32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>
      <c r="A62" s="36"/>
      <c r="B62" s="32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A63" s="36"/>
      <c r="B63" s="32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>
      <c r="A64" s="36"/>
      <c r="B64" s="32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>
      <c r="A65" s="36"/>
      <c r="B65" s="32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A66" s="36"/>
      <c r="B66" s="32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A67" s="36"/>
      <c r="B67" s="32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</row>
    <row r="68">
      <c r="A68" s="36"/>
      <c r="B68" s="32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</row>
    <row r="69">
      <c r="A69" s="36"/>
      <c r="B69" s="32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>
      <c r="A70" s="36"/>
      <c r="B70" s="32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36"/>
      <c r="B71" s="32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A72" s="36"/>
      <c r="B72" s="32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</row>
    <row r="73">
      <c r="A73" s="36"/>
      <c r="B73" s="32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</row>
    <row r="74">
      <c r="A74" s="36"/>
      <c r="B74" s="32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</row>
    <row r="75">
      <c r="A75" s="36"/>
      <c r="B75" s="32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</row>
    <row r="76">
      <c r="A76" s="36"/>
      <c r="B76" s="32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</row>
    <row r="77">
      <c r="A77" s="36"/>
      <c r="B77" s="32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</row>
    <row r="78">
      <c r="A78" s="36"/>
      <c r="B78" s="32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</row>
    <row r="79">
      <c r="A79" s="36"/>
      <c r="B79" s="32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</row>
    <row r="80">
      <c r="A80" s="36"/>
      <c r="B80" s="32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</row>
    <row r="81">
      <c r="A81" s="36"/>
      <c r="B81" s="32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</row>
    <row r="82">
      <c r="A82" s="36"/>
      <c r="B82" s="32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</row>
    <row r="83">
      <c r="A83" s="36"/>
      <c r="B83" s="32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</row>
    <row r="84">
      <c r="A84" s="36"/>
      <c r="B84" s="32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</row>
    <row r="85">
      <c r="A85" s="36"/>
      <c r="B85" s="32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</row>
    <row r="86">
      <c r="A86" s="36"/>
      <c r="B86" s="32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</row>
    <row r="87">
      <c r="A87" s="36"/>
      <c r="B87" s="32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</row>
    <row r="88">
      <c r="A88" s="36"/>
      <c r="B88" s="32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</row>
    <row r="89">
      <c r="A89" s="36"/>
      <c r="B89" s="32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</row>
    <row r="90">
      <c r="A90" s="36"/>
      <c r="B90" s="32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</row>
    <row r="91">
      <c r="A91" s="36"/>
      <c r="B91" s="32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</row>
    <row r="92">
      <c r="A92" s="36"/>
      <c r="B92" s="32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</row>
    <row r="93">
      <c r="A93" s="36"/>
      <c r="B93" s="32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</row>
    <row r="94">
      <c r="A94" s="36"/>
      <c r="B94" s="32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</row>
    <row r="95">
      <c r="A95" s="36"/>
      <c r="B95" s="32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</row>
    <row r="96">
      <c r="A96" s="36"/>
      <c r="B96" s="32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</row>
    <row r="97">
      <c r="A97" s="36"/>
      <c r="B97" s="32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</row>
    <row r="98">
      <c r="A98" s="36"/>
      <c r="B98" s="32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</row>
    <row r="99">
      <c r="A99" s="36"/>
      <c r="B99" s="32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</row>
    <row r="100">
      <c r="A100" s="36"/>
      <c r="B100" s="32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</row>
    <row r="101">
      <c r="A101" s="36"/>
      <c r="B101" s="32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</row>
    <row r="102">
      <c r="A102" s="36"/>
      <c r="B102" s="32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</row>
    <row r="103">
      <c r="A103" s="36"/>
      <c r="B103" s="32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</row>
    <row r="104">
      <c r="A104" s="36"/>
      <c r="B104" s="32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</row>
    <row r="105">
      <c r="A105" s="36"/>
      <c r="B105" s="32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</row>
    <row r="106">
      <c r="A106" s="36"/>
      <c r="B106" s="32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</row>
    <row r="107">
      <c r="A107" s="36"/>
      <c r="B107" s="32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</row>
    <row r="108">
      <c r="A108" s="36"/>
      <c r="B108" s="32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</row>
    <row r="109">
      <c r="A109" s="36"/>
      <c r="B109" s="32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</row>
    <row r="110">
      <c r="A110" s="36"/>
      <c r="B110" s="32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</row>
    <row r="111">
      <c r="A111" s="36"/>
      <c r="B111" s="32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</row>
    <row r="112">
      <c r="A112" s="36"/>
      <c r="B112" s="32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</row>
    <row r="113">
      <c r="A113" s="36"/>
      <c r="B113" s="32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</row>
    <row r="114">
      <c r="A114" s="36"/>
      <c r="B114" s="32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</row>
    <row r="115">
      <c r="A115" s="36"/>
      <c r="B115" s="32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</row>
    <row r="116">
      <c r="A116" s="36"/>
      <c r="B116" s="32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>
      <c r="A117" s="36"/>
      <c r="B117" s="32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</row>
    <row r="118">
      <c r="A118" s="36"/>
      <c r="B118" s="32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</row>
    <row r="119">
      <c r="A119" s="36"/>
      <c r="B119" s="32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</row>
    <row r="120">
      <c r="A120" s="36"/>
      <c r="B120" s="32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</row>
    <row r="121">
      <c r="A121" s="36"/>
      <c r="B121" s="32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</row>
    <row r="122">
      <c r="A122" s="36"/>
      <c r="B122" s="32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>
      <c r="A123" s="36"/>
      <c r="B123" s="32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</row>
    <row r="124">
      <c r="A124" s="36"/>
      <c r="B124" s="32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</row>
    <row r="125">
      <c r="A125" s="36"/>
      <c r="B125" s="32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</row>
    <row r="126">
      <c r="A126" s="36"/>
      <c r="B126" s="32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</row>
    <row r="127">
      <c r="A127" s="36"/>
      <c r="B127" s="32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</row>
    <row r="128">
      <c r="A128" s="36"/>
      <c r="B128" s="32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</row>
    <row r="129">
      <c r="A129" s="36"/>
      <c r="B129" s="32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>
      <c r="A130" s="36"/>
      <c r="B130" s="32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</row>
    <row r="131">
      <c r="A131" s="36"/>
      <c r="B131" s="32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</row>
    <row r="132">
      <c r="A132" s="36"/>
      <c r="B132" s="32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</row>
    <row r="133">
      <c r="A133" s="36"/>
      <c r="B133" s="32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</row>
    <row r="134">
      <c r="A134" s="36"/>
      <c r="B134" s="32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</row>
    <row r="135">
      <c r="A135" s="36"/>
      <c r="B135" s="32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6"/>
      <c r="B136" s="32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36"/>
      <c r="B137" s="32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</row>
    <row r="138">
      <c r="A138" s="36"/>
      <c r="B138" s="32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</row>
    <row r="139">
      <c r="A139" s="36"/>
      <c r="B139" s="32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</row>
    <row r="140">
      <c r="A140" s="36"/>
      <c r="B140" s="32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</row>
    <row r="141">
      <c r="A141" s="36"/>
      <c r="B141" s="32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</row>
    <row r="142">
      <c r="A142" s="36"/>
      <c r="B142" s="32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</row>
    <row r="143">
      <c r="A143" s="36"/>
      <c r="B143" s="32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</row>
    <row r="144">
      <c r="A144" s="36"/>
      <c r="B144" s="32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</row>
    <row r="145">
      <c r="A145" s="36"/>
      <c r="B145" s="32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</row>
    <row r="146">
      <c r="A146" s="36"/>
      <c r="B146" s="32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</row>
    <row r="147">
      <c r="A147" s="36"/>
      <c r="B147" s="32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</row>
    <row r="148">
      <c r="A148" s="36"/>
      <c r="B148" s="32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</row>
    <row r="149">
      <c r="A149" s="36"/>
      <c r="B149" s="32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</row>
    <row r="150">
      <c r="A150" s="36"/>
      <c r="B150" s="32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</row>
    <row r="151">
      <c r="A151" s="36"/>
      <c r="B151" s="32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</row>
    <row r="152">
      <c r="A152" s="36"/>
      <c r="B152" s="32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</row>
    <row r="153">
      <c r="A153" s="36"/>
      <c r="B153" s="32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</row>
    <row r="154">
      <c r="A154" s="36"/>
      <c r="B154" s="32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</row>
    <row r="155">
      <c r="A155" s="36"/>
      <c r="B155" s="32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</row>
    <row r="156">
      <c r="A156" s="36"/>
      <c r="B156" s="32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</row>
    <row r="157">
      <c r="A157" s="36"/>
      <c r="B157" s="32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</row>
    <row r="158">
      <c r="A158" s="36"/>
      <c r="B158" s="32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</row>
    <row r="159">
      <c r="A159" s="36"/>
      <c r="B159" s="32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</row>
    <row r="160">
      <c r="A160" s="36"/>
      <c r="B160" s="32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</row>
    <row r="161">
      <c r="A161" s="36"/>
      <c r="B161" s="32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>
      <c r="A162" s="36"/>
      <c r="B162" s="32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</row>
    <row r="163">
      <c r="A163" s="36"/>
      <c r="B163" s="32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</row>
    <row r="164">
      <c r="A164" s="36"/>
      <c r="B164" s="32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</row>
    <row r="165">
      <c r="A165" s="36"/>
      <c r="B165" s="32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</row>
    <row r="166">
      <c r="A166" s="36"/>
      <c r="B166" s="32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</row>
    <row r="167">
      <c r="A167" s="36"/>
      <c r="B167" s="32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</row>
    <row r="168">
      <c r="A168" s="36"/>
      <c r="B168" s="32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</row>
    <row r="169">
      <c r="A169" s="36"/>
      <c r="B169" s="32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</row>
    <row r="170">
      <c r="A170" s="36"/>
      <c r="B170" s="32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</row>
    <row r="171">
      <c r="A171" s="36"/>
      <c r="B171" s="32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</row>
    <row r="172">
      <c r="A172" s="36"/>
      <c r="B172" s="32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</row>
    <row r="173">
      <c r="A173" s="36"/>
      <c r="B173" s="32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</row>
    <row r="174">
      <c r="A174" s="36"/>
      <c r="B174" s="32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</row>
    <row r="175">
      <c r="A175" s="36"/>
      <c r="B175" s="32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</row>
    <row r="176">
      <c r="A176" s="36"/>
      <c r="B176" s="32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</row>
    <row r="177">
      <c r="A177" s="36"/>
      <c r="B177" s="32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</row>
    <row r="178">
      <c r="A178" s="36"/>
      <c r="B178" s="32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</row>
    <row r="179">
      <c r="A179" s="36"/>
      <c r="B179" s="32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</row>
    <row r="180">
      <c r="A180" s="36"/>
      <c r="B180" s="32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</row>
    <row r="181">
      <c r="A181" s="36"/>
      <c r="B181" s="32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</row>
    <row r="182">
      <c r="A182" s="36"/>
      <c r="B182" s="32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</row>
    <row r="183">
      <c r="A183" s="36"/>
      <c r="B183" s="32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</row>
    <row r="184">
      <c r="A184" s="36"/>
      <c r="B184" s="32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</row>
    <row r="185">
      <c r="A185" s="36"/>
      <c r="B185" s="32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>
      <c r="A186" s="36"/>
      <c r="B186" s="32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>
      <c r="A187" s="36"/>
      <c r="B187" s="32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</row>
    <row r="188">
      <c r="A188" s="36"/>
      <c r="B188" s="32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</row>
    <row r="189">
      <c r="A189" s="36"/>
      <c r="B189" s="32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</row>
    <row r="190">
      <c r="A190" s="36"/>
      <c r="B190" s="32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</row>
    <row r="191">
      <c r="A191" s="36"/>
      <c r="B191" s="32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</row>
    <row r="192">
      <c r="A192" s="36"/>
      <c r="B192" s="32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</row>
    <row r="193">
      <c r="A193" s="36"/>
      <c r="B193" s="32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</row>
    <row r="194">
      <c r="A194" s="36"/>
      <c r="B194" s="32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</row>
    <row r="195">
      <c r="A195" s="36"/>
      <c r="B195" s="32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</row>
    <row r="196">
      <c r="A196" s="36"/>
      <c r="B196" s="32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</row>
    <row r="197">
      <c r="A197" s="36"/>
      <c r="B197" s="32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</row>
    <row r="198">
      <c r="A198" s="36"/>
      <c r="B198" s="32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</row>
    <row r="199">
      <c r="A199" s="36"/>
      <c r="B199" s="32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</row>
    <row r="200">
      <c r="A200" s="36"/>
      <c r="B200" s="32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</row>
    <row r="201">
      <c r="A201" s="36"/>
      <c r="B201" s="32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</row>
    <row r="202">
      <c r="A202" s="36"/>
      <c r="B202" s="32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</row>
    <row r="203">
      <c r="A203" s="36"/>
      <c r="B203" s="32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</row>
    <row r="204">
      <c r="A204" s="36"/>
      <c r="B204" s="32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</row>
    <row r="205">
      <c r="A205" s="36"/>
      <c r="B205" s="32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</row>
    <row r="206">
      <c r="A206" s="36"/>
      <c r="B206" s="32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>
      <c r="A207" s="36"/>
      <c r="B207" s="32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</row>
    <row r="208">
      <c r="A208" s="36"/>
      <c r="B208" s="32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>
      <c r="A209" s="36"/>
      <c r="B209" s="32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</row>
    <row r="210">
      <c r="A210" s="36"/>
      <c r="B210" s="32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</row>
    <row r="211">
      <c r="A211" s="36"/>
      <c r="B211" s="32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</row>
    <row r="212">
      <c r="A212" s="36"/>
      <c r="B212" s="32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</row>
    <row r="213">
      <c r="A213" s="36"/>
      <c r="B213" s="32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</row>
    <row r="214">
      <c r="A214" s="36"/>
      <c r="B214" s="32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</row>
    <row r="215">
      <c r="A215" s="36"/>
      <c r="B215" s="32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</row>
    <row r="216">
      <c r="A216" s="36"/>
      <c r="B216" s="32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</row>
    <row r="217">
      <c r="A217" s="36"/>
      <c r="B217" s="32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</row>
    <row r="218">
      <c r="A218" s="36"/>
      <c r="B218" s="32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</row>
    <row r="219">
      <c r="A219" s="36"/>
      <c r="B219" s="32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</row>
    <row r="220">
      <c r="A220" s="36"/>
      <c r="B220" s="32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</row>
    <row r="221">
      <c r="A221" s="36"/>
      <c r="B221" s="32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</row>
    <row r="222">
      <c r="A222" s="36"/>
      <c r="B222" s="32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</row>
    <row r="223">
      <c r="A223" s="36"/>
      <c r="B223" s="32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</row>
    <row r="224">
      <c r="A224" s="36"/>
      <c r="B224" s="32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>
      <c r="A225" s="36"/>
      <c r="B225" s="32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</row>
    <row r="226">
      <c r="A226" s="36"/>
      <c r="B226" s="32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</row>
    <row r="227">
      <c r="A227" s="36"/>
      <c r="B227" s="32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</row>
    <row r="228">
      <c r="A228" s="36"/>
      <c r="B228" s="32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</row>
    <row r="229">
      <c r="A229" s="36"/>
      <c r="B229" s="32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</row>
    <row r="230">
      <c r="A230" s="36"/>
      <c r="B230" s="32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</row>
    <row r="231">
      <c r="A231" s="36"/>
      <c r="B231" s="32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</row>
    <row r="232">
      <c r="A232" s="36"/>
      <c r="B232" s="32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</row>
    <row r="233">
      <c r="A233" s="36"/>
      <c r="B233" s="32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</row>
    <row r="234">
      <c r="A234" s="36"/>
      <c r="B234" s="32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</row>
    <row r="235">
      <c r="A235" s="36"/>
      <c r="B235" s="32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</row>
    <row r="236">
      <c r="A236" s="36"/>
      <c r="B236" s="32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</row>
    <row r="237">
      <c r="A237" s="36"/>
      <c r="B237" s="32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</row>
    <row r="238">
      <c r="A238" s="36"/>
      <c r="B238" s="32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</row>
    <row r="239">
      <c r="A239" s="36"/>
      <c r="B239" s="32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</row>
    <row r="240">
      <c r="A240" s="36"/>
      <c r="B240" s="32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</row>
    <row r="241">
      <c r="A241" s="36"/>
      <c r="B241" s="32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</row>
    <row r="242">
      <c r="A242" s="36"/>
      <c r="B242" s="32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</row>
    <row r="243">
      <c r="A243" s="36"/>
      <c r="B243" s="32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</row>
    <row r="244">
      <c r="A244" s="36"/>
      <c r="B244" s="32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>
      <c r="A245" s="36"/>
      <c r="B245" s="32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</row>
    <row r="246">
      <c r="A246" s="36"/>
      <c r="B246" s="32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</row>
    <row r="247">
      <c r="A247" s="36"/>
      <c r="B247" s="32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>
      <c r="A248" s="36"/>
      <c r="B248" s="32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</row>
    <row r="249">
      <c r="A249" s="36"/>
      <c r="B249" s="32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>
      <c r="A250" s="36"/>
      <c r="B250" s="32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</row>
    <row r="251">
      <c r="A251" s="36"/>
      <c r="B251" s="32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</row>
    <row r="252">
      <c r="A252" s="36"/>
      <c r="B252" s="32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</row>
    <row r="253">
      <c r="A253" s="36"/>
      <c r="B253" s="32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>
      <c r="A254" s="36"/>
      <c r="B254" s="32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</row>
    <row r="255">
      <c r="A255" s="36"/>
      <c r="B255" s="32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>
      <c r="A256" s="36"/>
      <c r="B256" s="32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</row>
    <row r="257">
      <c r="A257" s="36"/>
      <c r="B257" s="32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</row>
    <row r="258">
      <c r="A258" s="36"/>
      <c r="B258" s="32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</row>
    <row r="259">
      <c r="A259" s="36"/>
      <c r="B259" s="32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</row>
    <row r="260">
      <c r="A260" s="36"/>
      <c r="B260" s="32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</row>
    <row r="261">
      <c r="A261" s="36"/>
      <c r="B261" s="32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</row>
    <row r="262">
      <c r="A262" s="36"/>
      <c r="B262" s="32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</row>
    <row r="263">
      <c r="A263" s="36"/>
      <c r="B263" s="32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</row>
    <row r="264">
      <c r="A264" s="36"/>
      <c r="B264" s="32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</row>
    <row r="265">
      <c r="A265" s="36"/>
      <c r="B265" s="32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</row>
    <row r="266">
      <c r="A266" s="36"/>
      <c r="B266" s="32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</row>
    <row r="267">
      <c r="A267" s="36"/>
      <c r="B267" s="32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</row>
    <row r="268">
      <c r="A268" s="36"/>
      <c r="B268" s="32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</row>
    <row r="269">
      <c r="A269" s="36"/>
      <c r="B269" s="32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</row>
    <row r="270">
      <c r="A270" s="36"/>
      <c r="B270" s="32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</row>
    <row r="271">
      <c r="A271" s="36"/>
      <c r="B271" s="32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</row>
    <row r="272">
      <c r="A272" s="36"/>
      <c r="B272" s="32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</row>
    <row r="273">
      <c r="A273" s="36"/>
      <c r="B273" s="32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</row>
    <row r="274">
      <c r="A274" s="36"/>
      <c r="B274" s="32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</row>
    <row r="275">
      <c r="A275" s="36"/>
      <c r="B275" s="32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</row>
    <row r="276">
      <c r="A276" s="36"/>
      <c r="B276" s="32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</row>
    <row r="277">
      <c r="A277" s="36"/>
      <c r="B277" s="32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</row>
    <row r="278">
      <c r="A278" s="36"/>
      <c r="B278" s="32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</row>
    <row r="279">
      <c r="A279" s="36"/>
      <c r="B279" s="32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</row>
    <row r="280">
      <c r="A280" s="36"/>
      <c r="B280" s="32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</row>
    <row r="281">
      <c r="A281" s="36"/>
      <c r="B281" s="32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</row>
    <row r="282">
      <c r="A282" s="36"/>
      <c r="B282" s="32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</row>
    <row r="283">
      <c r="A283" s="36"/>
      <c r="B283" s="32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</row>
    <row r="284">
      <c r="A284" s="36"/>
      <c r="B284" s="32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</row>
    <row r="285">
      <c r="A285" s="36"/>
      <c r="B285" s="32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</row>
    <row r="286">
      <c r="A286" s="36"/>
      <c r="B286" s="32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</row>
    <row r="287">
      <c r="A287" s="36"/>
      <c r="B287" s="32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</row>
    <row r="288">
      <c r="A288" s="36"/>
      <c r="B288" s="32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</row>
    <row r="289">
      <c r="A289" s="36"/>
      <c r="B289" s="32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</row>
    <row r="290">
      <c r="A290" s="36"/>
      <c r="B290" s="32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</row>
    <row r="291">
      <c r="A291" s="36"/>
      <c r="B291" s="32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</row>
    <row r="292">
      <c r="A292" s="36"/>
      <c r="B292" s="32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</row>
    <row r="293">
      <c r="A293" s="36"/>
      <c r="B293" s="32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</row>
    <row r="294">
      <c r="A294" s="36"/>
      <c r="B294" s="32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</row>
    <row r="295">
      <c r="A295" s="36"/>
      <c r="B295" s="32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</row>
    <row r="296">
      <c r="A296" s="36"/>
      <c r="B296" s="32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</row>
    <row r="297">
      <c r="A297" s="36"/>
      <c r="B297" s="32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</row>
    <row r="298">
      <c r="A298" s="36"/>
      <c r="B298" s="32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>
      <c r="A299" s="36"/>
      <c r="B299" s="32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>
      <c r="A300" s="36"/>
      <c r="B300" s="32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>
      <c r="A301" s="36"/>
      <c r="B301" s="32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</row>
    <row r="302">
      <c r="A302" s="36"/>
      <c r="B302" s="32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</row>
    <row r="303">
      <c r="A303" s="36"/>
      <c r="B303" s="32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</row>
    <row r="304">
      <c r="A304" s="36"/>
      <c r="B304" s="32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</row>
    <row r="305">
      <c r="A305" s="36"/>
      <c r="B305" s="32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</row>
    <row r="306">
      <c r="A306" s="36"/>
      <c r="B306" s="32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</row>
    <row r="307">
      <c r="A307" s="36"/>
      <c r="B307" s="32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</row>
    <row r="308">
      <c r="A308" s="36"/>
      <c r="B308" s="32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>
      <c r="A309" s="36"/>
      <c r="B309" s="32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>
      <c r="A310" s="36"/>
      <c r="B310" s="32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</row>
    <row r="311">
      <c r="A311" s="36"/>
      <c r="B311" s="32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</row>
    <row r="312">
      <c r="A312" s="36"/>
      <c r="B312" s="32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</row>
    <row r="313">
      <c r="A313" s="36"/>
      <c r="B313" s="32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</row>
    <row r="314">
      <c r="A314" s="36"/>
      <c r="B314" s="32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</row>
    <row r="315">
      <c r="A315" s="36"/>
      <c r="B315" s="32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>
      <c r="A316" s="36"/>
      <c r="B316" s="32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</row>
    <row r="317">
      <c r="A317" s="36"/>
      <c r="B317" s="32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</row>
    <row r="318">
      <c r="A318" s="36"/>
      <c r="B318" s="32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>
      <c r="A319" s="36"/>
      <c r="B319" s="32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</row>
    <row r="320">
      <c r="A320" s="36"/>
      <c r="B320" s="32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</row>
    <row r="321">
      <c r="A321" s="36"/>
      <c r="B321" s="32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</row>
    <row r="322">
      <c r="A322" s="36"/>
      <c r="B322" s="32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</row>
    <row r="323">
      <c r="A323" s="36"/>
      <c r="B323" s="32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</row>
    <row r="324">
      <c r="A324" s="36"/>
      <c r="B324" s="32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</row>
    <row r="325">
      <c r="A325" s="36"/>
      <c r="B325" s="32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</row>
    <row r="326">
      <c r="A326" s="36"/>
      <c r="B326" s="32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</row>
    <row r="327">
      <c r="A327" s="36"/>
      <c r="B327" s="32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</row>
    <row r="328">
      <c r="A328" s="36"/>
      <c r="B328" s="32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</row>
    <row r="329">
      <c r="A329" s="36"/>
      <c r="B329" s="32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>
      <c r="A330" s="36"/>
      <c r="B330" s="32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>
      <c r="A331" s="36"/>
      <c r="B331" s="32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>
      <c r="A332" s="36"/>
      <c r="B332" s="32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>
      <c r="A333" s="36"/>
      <c r="B333" s="32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>
      <c r="A334" s="36"/>
      <c r="B334" s="32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</row>
    <row r="335">
      <c r="A335" s="36"/>
      <c r="B335" s="32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>
      <c r="A336" s="36"/>
      <c r="B336" s="32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7">
      <c r="A337" s="36"/>
      <c r="B337" s="32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</row>
    <row r="338">
      <c r="A338" s="36"/>
      <c r="B338" s="32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</row>
    <row r="339">
      <c r="A339" s="36"/>
      <c r="B339" s="32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</row>
    <row r="340">
      <c r="A340" s="36"/>
      <c r="B340" s="32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</row>
    <row r="341">
      <c r="A341" s="36"/>
      <c r="B341" s="32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</row>
    <row r="342">
      <c r="A342" s="36"/>
      <c r="B342" s="32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</row>
    <row r="343">
      <c r="A343" s="36"/>
      <c r="B343" s="32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</row>
    <row r="344">
      <c r="A344" s="36"/>
      <c r="B344" s="32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</row>
    <row r="345">
      <c r="A345" s="36"/>
      <c r="B345" s="32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</row>
    <row r="346">
      <c r="A346" s="36"/>
      <c r="B346" s="32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</row>
    <row r="347">
      <c r="A347" s="36"/>
      <c r="B347" s="32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</row>
    <row r="348">
      <c r="A348" s="36"/>
      <c r="B348" s="32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</row>
    <row r="349">
      <c r="A349" s="36"/>
      <c r="B349" s="32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</row>
    <row r="350">
      <c r="A350" s="36"/>
      <c r="B350" s="32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</row>
    <row r="351">
      <c r="A351" s="36"/>
      <c r="B351" s="32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</row>
    <row r="352">
      <c r="A352" s="36"/>
      <c r="B352" s="32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</row>
    <row r="353">
      <c r="A353" s="36"/>
      <c r="B353" s="32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</row>
    <row r="354">
      <c r="A354" s="36"/>
      <c r="B354" s="32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>
      <c r="A355" s="36"/>
      <c r="B355" s="32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</row>
    <row r="356">
      <c r="A356" s="36"/>
      <c r="B356" s="32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</row>
    <row r="357">
      <c r="A357" s="36"/>
      <c r="B357" s="32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</row>
    <row r="358">
      <c r="A358" s="36"/>
      <c r="B358" s="32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</row>
    <row r="359">
      <c r="A359" s="36"/>
      <c r="B359" s="32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</row>
    <row r="360">
      <c r="A360" s="36"/>
      <c r="B360" s="32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</row>
    <row r="361">
      <c r="A361" s="36"/>
      <c r="B361" s="32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</row>
    <row r="362">
      <c r="A362" s="36"/>
      <c r="B362" s="32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</row>
    <row r="363">
      <c r="A363" s="36"/>
      <c r="B363" s="32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</row>
    <row r="364">
      <c r="A364" s="36"/>
      <c r="B364" s="32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</row>
    <row r="365">
      <c r="A365" s="36"/>
      <c r="B365" s="32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</row>
    <row r="366">
      <c r="A366" s="36"/>
      <c r="B366" s="32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</row>
    <row r="367">
      <c r="A367" s="36"/>
      <c r="B367" s="32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</row>
    <row r="368">
      <c r="A368" s="36"/>
      <c r="B368" s="32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</row>
    <row r="369">
      <c r="A369" s="36"/>
      <c r="B369" s="32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</row>
    <row r="370">
      <c r="A370" s="36"/>
      <c r="B370" s="32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</row>
    <row r="371">
      <c r="A371" s="36"/>
      <c r="B371" s="32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</row>
    <row r="372">
      <c r="A372" s="36"/>
      <c r="B372" s="32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</row>
    <row r="373">
      <c r="A373" s="36"/>
      <c r="B373" s="32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</row>
    <row r="374">
      <c r="A374" s="36"/>
      <c r="B374" s="32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</row>
    <row r="375">
      <c r="A375" s="36"/>
      <c r="B375" s="32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</row>
    <row r="376">
      <c r="A376" s="36"/>
      <c r="B376" s="32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</row>
    <row r="377">
      <c r="A377" s="36"/>
      <c r="B377" s="32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</row>
    <row r="378">
      <c r="A378" s="36"/>
      <c r="B378" s="32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</row>
    <row r="379">
      <c r="A379" s="36"/>
      <c r="B379" s="32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</row>
    <row r="380">
      <c r="A380" s="36"/>
      <c r="B380" s="32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</row>
    <row r="381">
      <c r="A381" s="36"/>
      <c r="B381" s="32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>
      <c r="A382" s="36"/>
      <c r="B382" s="32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</row>
    <row r="383">
      <c r="A383" s="36"/>
      <c r="B383" s="32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</row>
    <row r="384">
      <c r="A384" s="36"/>
      <c r="B384" s="32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</row>
    <row r="385">
      <c r="A385" s="36"/>
      <c r="B385" s="32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</row>
    <row r="386">
      <c r="A386" s="36"/>
      <c r="B386" s="32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</row>
    <row r="387">
      <c r="A387" s="36"/>
      <c r="B387" s="32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</row>
    <row r="388">
      <c r="A388" s="36"/>
      <c r="B388" s="32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</row>
    <row r="389">
      <c r="A389" s="36"/>
      <c r="B389" s="32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</row>
    <row r="390">
      <c r="A390" s="36"/>
      <c r="B390" s="32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</row>
    <row r="391">
      <c r="A391" s="36"/>
      <c r="B391" s="32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</row>
    <row r="392">
      <c r="A392" s="36"/>
      <c r="B392" s="32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</row>
    <row r="393">
      <c r="A393" s="36"/>
      <c r="B393" s="32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</row>
    <row r="394">
      <c r="A394" s="36"/>
      <c r="B394" s="32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</row>
    <row r="395">
      <c r="A395" s="36"/>
      <c r="B395" s="32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</row>
    <row r="396">
      <c r="A396" s="36"/>
      <c r="B396" s="32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</row>
    <row r="397">
      <c r="A397" s="36"/>
      <c r="B397" s="32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</row>
    <row r="398">
      <c r="A398" s="36"/>
      <c r="B398" s="32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</row>
    <row r="399">
      <c r="A399" s="36"/>
      <c r="B399" s="32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</row>
    <row r="400">
      <c r="A400" s="36"/>
      <c r="B400" s="32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</row>
    <row r="401">
      <c r="A401" s="36"/>
      <c r="B401" s="32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</row>
    <row r="402">
      <c r="A402" s="36"/>
      <c r="B402" s="32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</row>
    <row r="403">
      <c r="A403" s="36"/>
      <c r="B403" s="32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</row>
    <row r="404">
      <c r="A404" s="36"/>
      <c r="B404" s="32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</row>
    <row r="405">
      <c r="A405" s="36"/>
      <c r="B405" s="32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</row>
    <row r="406">
      <c r="A406" s="36"/>
      <c r="B406" s="32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</row>
    <row r="407">
      <c r="A407" s="36"/>
      <c r="B407" s="32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</row>
    <row r="408">
      <c r="A408" s="36"/>
      <c r="B408" s="32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</row>
    <row r="409">
      <c r="A409" s="36"/>
      <c r="B409" s="32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</row>
    <row r="410">
      <c r="A410" s="36"/>
      <c r="B410" s="32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</row>
    <row r="411">
      <c r="A411" s="36"/>
      <c r="B411" s="32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</row>
    <row r="412">
      <c r="A412" s="36"/>
      <c r="B412" s="32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</row>
    <row r="413">
      <c r="A413" s="36"/>
      <c r="B413" s="32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</row>
    <row r="414">
      <c r="A414" s="36"/>
      <c r="B414" s="32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</row>
    <row r="415">
      <c r="A415" s="36"/>
      <c r="B415" s="32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</row>
    <row r="416">
      <c r="A416" s="36"/>
      <c r="B416" s="32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</row>
    <row r="417">
      <c r="A417" s="36"/>
      <c r="B417" s="32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</row>
    <row r="418">
      <c r="A418" s="36"/>
      <c r="B418" s="32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</row>
    <row r="419">
      <c r="A419" s="36"/>
      <c r="B419" s="32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</row>
    <row r="420">
      <c r="A420" s="36"/>
      <c r="B420" s="32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</row>
    <row r="421">
      <c r="A421" s="36"/>
      <c r="B421" s="32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</row>
    <row r="422">
      <c r="A422" s="36"/>
      <c r="B422" s="32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</row>
    <row r="423">
      <c r="A423" s="36"/>
      <c r="B423" s="32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</row>
    <row r="424">
      <c r="A424" s="36"/>
      <c r="B424" s="32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</row>
    <row r="425">
      <c r="A425" s="36"/>
      <c r="B425" s="32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</row>
    <row r="426">
      <c r="A426" s="36"/>
      <c r="B426" s="32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</row>
    <row r="427">
      <c r="A427" s="36"/>
      <c r="B427" s="32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</row>
    <row r="428">
      <c r="A428" s="36"/>
      <c r="B428" s="32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</row>
    <row r="429">
      <c r="A429" s="36"/>
      <c r="B429" s="32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</row>
    <row r="430">
      <c r="A430" s="36"/>
      <c r="B430" s="32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</row>
    <row r="431">
      <c r="A431" s="36"/>
      <c r="B431" s="32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</row>
    <row r="432">
      <c r="A432" s="36"/>
      <c r="B432" s="32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</row>
    <row r="433">
      <c r="A433" s="36"/>
      <c r="B433" s="32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</row>
    <row r="434">
      <c r="A434" s="36"/>
      <c r="B434" s="32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</row>
    <row r="435">
      <c r="A435" s="36"/>
      <c r="B435" s="32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</row>
    <row r="436">
      <c r="A436" s="36"/>
      <c r="B436" s="32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</row>
    <row r="437">
      <c r="A437" s="36"/>
      <c r="B437" s="32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</row>
    <row r="438">
      <c r="A438" s="36"/>
      <c r="B438" s="32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</row>
    <row r="439">
      <c r="A439" s="36"/>
      <c r="B439" s="32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</row>
    <row r="440">
      <c r="A440" s="36"/>
      <c r="B440" s="32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>
      <c r="A441" s="36"/>
      <c r="B441" s="32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</row>
    <row r="442">
      <c r="A442" s="36"/>
      <c r="B442" s="32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</row>
    <row r="443">
      <c r="A443" s="36"/>
      <c r="B443" s="32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</row>
    <row r="444">
      <c r="A444" s="36"/>
      <c r="B444" s="32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</row>
    <row r="445">
      <c r="A445" s="36"/>
      <c r="B445" s="32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>
      <c r="A446" s="36"/>
      <c r="B446" s="32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</row>
    <row r="447">
      <c r="A447" s="36"/>
      <c r="B447" s="32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</row>
    <row r="448">
      <c r="A448" s="36"/>
      <c r="B448" s="32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</row>
    <row r="449">
      <c r="A449" s="36"/>
      <c r="B449" s="32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>
      <c r="A450" s="36"/>
      <c r="B450" s="32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</row>
    <row r="451">
      <c r="A451" s="36"/>
      <c r="B451" s="32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</row>
    <row r="452">
      <c r="A452" s="36"/>
      <c r="B452" s="32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</row>
    <row r="453">
      <c r="A453" s="36"/>
      <c r="B453" s="32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</row>
    <row r="454">
      <c r="A454" s="36"/>
      <c r="B454" s="32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</row>
    <row r="455">
      <c r="A455" s="36"/>
      <c r="B455" s="32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</row>
    <row r="456">
      <c r="A456" s="36"/>
      <c r="B456" s="32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</row>
    <row r="457">
      <c r="A457" s="36"/>
      <c r="B457" s="32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</row>
    <row r="458">
      <c r="A458" s="36"/>
      <c r="B458" s="32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</row>
    <row r="459">
      <c r="A459" s="36"/>
      <c r="B459" s="32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</row>
    <row r="460">
      <c r="A460" s="36"/>
      <c r="B460" s="32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</row>
    <row r="461">
      <c r="A461" s="36"/>
      <c r="B461" s="32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</row>
    <row r="462">
      <c r="A462" s="36"/>
      <c r="B462" s="32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</row>
    <row r="463">
      <c r="A463" s="36"/>
      <c r="B463" s="32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</row>
    <row r="464">
      <c r="A464" s="36"/>
      <c r="B464" s="32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</row>
    <row r="465">
      <c r="A465" s="36"/>
      <c r="B465" s="32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</row>
    <row r="466">
      <c r="A466" s="36"/>
      <c r="B466" s="32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</row>
    <row r="467">
      <c r="A467" s="36"/>
      <c r="B467" s="32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</row>
    <row r="468">
      <c r="A468" s="36"/>
      <c r="B468" s="32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</row>
    <row r="469">
      <c r="A469" s="36"/>
      <c r="B469" s="32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</row>
    <row r="470">
      <c r="A470" s="36"/>
      <c r="B470" s="32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</row>
    <row r="471">
      <c r="A471" s="36"/>
      <c r="B471" s="32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</row>
    <row r="472">
      <c r="A472" s="36"/>
      <c r="B472" s="32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</row>
    <row r="473">
      <c r="A473" s="36"/>
      <c r="B473" s="32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</row>
    <row r="474">
      <c r="A474" s="36"/>
      <c r="B474" s="32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</row>
    <row r="475">
      <c r="A475" s="36"/>
      <c r="B475" s="32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</row>
    <row r="476">
      <c r="A476" s="36"/>
      <c r="B476" s="32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</row>
    <row r="477">
      <c r="A477" s="36"/>
      <c r="B477" s="32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</row>
    <row r="478">
      <c r="A478" s="36"/>
      <c r="B478" s="32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</row>
    <row r="479">
      <c r="A479" s="36"/>
      <c r="B479" s="32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</row>
    <row r="480">
      <c r="A480" s="36"/>
      <c r="B480" s="32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</row>
    <row r="481">
      <c r="A481" s="36"/>
      <c r="B481" s="32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</row>
    <row r="482">
      <c r="A482" s="36"/>
      <c r="B482" s="32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</row>
    <row r="483">
      <c r="A483" s="36"/>
      <c r="B483" s="32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</row>
    <row r="484">
      <c r="A484" s="36"/>
      <c r="B484" s="32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</row>
    <row r="485">
      <c r="A485" s="36"/>
      <c r="B485" s="32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</row>
    <row r="486">
      <c r="A486" s="36"/>
      <c r="B486" s="32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</row>
    <row r="487">
      <c r="A487" s="36"/>
      <c r="B487" s="32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</row>
    <row r="488">
      <c r="A488" s="36"/>
      <c r="B488" s="32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</row>
    <row r="489">
      <c r="A489" s="36"/>
      <c r="B489" s="32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</row>
    <row r="490">
      <c r="A490" s="36"/>
      <c r="B490" s="32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</row>
    <row r="491">
      <c r="A491" s="36"/>
      <c r="B491" s="32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</row>
    <row r="492">
      <c r="A492" s="36"/>
      <c r="B492" s="32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</row>
    <row r="493">
      <c r="A493" s="36"/>
      <c r="B493" s="32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</row>
    <row r="494">
      <c r="A494" s="36"/>
      <c r="B494" s="32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</row>
    <row r="495">
      <c r="A495" s="36"/>
      <c r="B495" s="32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</row>
    <row r="496">
      <c r="A496" s="36"/>
      <c r="B496" s="32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</row>
    <row r="497">
      <c r="A497" s="36"/>
      <c r="B497" s="32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</row>
    <row r="498">
      <c r="A498" s="36"/>
      <c r="B498" s="32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</row>
    <row r="499">
      <c r="A499" s="36"/>
      <c r="B499" s="32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</row>
    <row r="500">
      <c r="A500" s="36"/>
      <c r="B500" s="32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</row>
    <row r="501">
      <c r="A501" s="36"/>
      <c r="B501" s="32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</row>
    <row r="502">
      <c r="A502" s="36"/>
      <c r="B502" s="32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</row>
    <row r="503">
      <c r="A503" s="36"/>
      <c r="B503" s="32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</row>
    <row r="504">
      <c r="A504" s="36"/>
      <c r="B504" s="32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</row>
    <row r="505">
      <c r="A505" s="36"/>
      <c r="B505" s="32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</row>
    <row r="506">
      <c r="A506" s="36"/>
      <c r="B506" s="32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>
      <c r="A507" s="36"/>
      <c r="B507" s="32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>
      <c r="A508" s="36"/>
      <c r="B508" s="32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</row>
    <row r="509">
      <c r="A509" s="36"/>
      <c r="B509" s="32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</row>
    <row r="510">
      <c r="A510" s="36"/>
      <c r="B510" s="32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>
      <c r="A511" s="36"/>
      <c r="B511" s="32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</row>
    <row r="512">
      <c r="A512" s="36"/>
      <c r="B512" s="32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</row>
    <row r="513">
      <c r="A513" s="36"/>
      <c r="B513" s="32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</row>
    <row r="514">
      <c r="A514" s="36"/>
      <c r="B514" s="32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</row>
    <row r="515">
      <c r="A515" s="36"/>
      <c r="B515" s="32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</row>
    <row r="516">
      <c r="A516" s="36"/>
      <c r="B516" s="32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</row>
    <row r="517">
      <c r="A517" s="36"/>
      <c r="B517" s="32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</row>
    <row r="518">
      <c r="A518" s="36"/>
      <c r="B518" s="32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</row>
    <row r="519">
      <c r="A519" s="36"/>
      <c r="B519" s="32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</row>
    <row r="520">
      <c r="A520" s="36"/>
      <c r="B520" s="32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</row>
    <row r="521">
      <c r="A521" s="36"/>
      <c r="B521" s="32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</row>
    <row r="522">
      <c r="A522" s="36"/>
      <c r="B522" s="32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</row>
    <row r="523">
      <c r="A523" s="36"/>
      <c r="B523" s="32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</row>
    <row r="524">
      <c r="A524" s="36"/>
      <c r="B524" s="32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</row>
    <row r="525">
      <c r="A525" s="36"/>
      <c r="B525" s="32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</row>
    <row r="526">
      <c r="A526" s="36"/>
      <c r="B526" s="32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</row>
    <row r="527">
      <c r="A527" s="36"/>
      <c r="B527" s="32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</row>
    <row r="528">
      <c r="A528" s="36"/>
      <c r="B528" s="32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</row>
    <row r="529">
      <c r="A529" s="36"/>
      <c r="B529" s="32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</row>
    <row r="530">
      <c r="A530" s="36"/>
      <c r="B530" s="32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</row>
    <row r="531">
      <c r="A531" s="36"/>
      <c r="B531" s="32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</row>
    <row r="532">
      <c r="A532" s="36"/>
      <c r="B532" s="32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</row>
    <row r="533">
      <c r="A533" s="36"/>
      <c r="B533" s="32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</row>
    <row r="534">
      <c r="A534" s="36"/>
      <c r="B534" s="32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</row>
    <row r="535">
      <c r="A535" s="36"/>
      <c r="B535" s="32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</row>
    <row r="536">
      <c r="A536" s="36"/>
      <c r="B536" s="32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</row>
    <row r="537">
      <c r="A537" s="36"/>
      <c r="B537" s="32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</row>
    <row r="538">
      <c r="A538" s="36"/>
      <c r="B538" s="32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</row>
    <row r="539">
      <c r="A539" s="36"/>
      <c r="B539" s="32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</row>
    <row r="540">
      <c r="A540" s="36"/>
      <c r="B540" s="32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</row>
    <row r="541">
      <c r="A541" s="36"/>
      <c r="B541" s="32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</row>
    <row r="542">
      <c r="A542" s="36"/>
      <c r="B542" s="32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</row>
    <row r="543">
      <c r="A543" s="36"/>
      <c r="B543" s="32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</row>
    <row r="544">
      <c r="A544" s="36"/>
      <c r="B544" s="32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</row>
    <row r="545">
      <c r="A545" s="36"/>
      <c r="B545" s="32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</row>
    <row r="546">
      <c r="A546" s="36"/>
      <c r="B546" s="32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</row>
    <row r="547">
      <c r="A547" s="36"/>
      <c r="B547" s="32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</row>
    <row r="548">
      <c r="A548" s="36"/>
      <c r="B548" s="32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</row>
    <row r="549">
      <c r="A549" s="36"/>
      <c r="B549" s="32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</row>
    <row r="550">
      <c r="A550" s="36"/>
      <c r="B550" s="32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</row>
    <row r="551">
      <c r="A551" s="36"/>
      <c r="B551" s="32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</row>
    <row r="552">
      <c r="A552" s="36"/>
      <c r="B552" s="32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</row>
    <row r="553">
      <c r="A553" s="36"/>
      <c r="B553" s="32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>
      <c r="A554" s="36"/>
      <c r="B554" s="32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</row>
    <row r="555">
      <c r="A555" s="36"/>
      <c r="B555" s="32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</row>
    <row r="556">
      <c r="A556" s="36"/>
      <c r="B556" s="32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</row>
    <row r="557">
      <c r="A557" s="36"/>
      <c r="B557" s="32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</row>
    <row r="558">
      <c r="A558" s="36"/>
      <c r="B558" s="32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</row>
    <row r="559">
      <c r="A559" s="36"/>
      <c r="B559" s="32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</row>
    <row r="560">
      <c r="A560" s="36"/>
      <c r="B560" s="32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</row>
    <row r="561">
      <c r="A561" s="36"/>
      <c r="B561" s="32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</row>
    <row r="562">
      <c r="A562" s="36"/>
      <c r="B562" s="32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</row>
    <row r="563">
      <c r="A563" s="36"/>
      <c r="B563" s="32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</row>
    <row r="564">
      <c r="A564" s="36"/>
      <c r="B564" s="32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>
      <c r="A565" s="36"/>
      <c r="B565" s="32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</row>
    <row r="566">
      <c r="A566" s="36"/>
      <c r="B566" s="32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</row>
    <row r="567">
      <c r="A567" s="36"/>
      <c r="B567" s="32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</row>
    <row r="568">
      <c r="A568" s="36"/>
      <c r="B568" s="32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>
      <c r="A569" s="36"/>
      <c r="B569" s="32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</row>
    <row r="570">
      <c r="A570" s="36"/>
      <c r="B570" s="32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</row>
    <row r="571">
      <c r="A571" s="36"/>
      <c r="B571" s="32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</row>
    <row r="572">
      <c r="A572" s="36"/>
      <c r="B572" s="32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</row>
    <row r="573">
      <c r="A573" s="36"/>
      <c r="B573" s="32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</row>
    <row r="574">
      <c r="A574" s="36"/>
      <c r="B574" s="32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</row>
    <row r="575">
      <c r="A575" s="36"/>
      <c r="B575" s="32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>
      <c r="A576" s="36"/>
      <c r="B576" s="32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</row>
    <row r="577">
      <c r="A577" s="36"/>
      <c r="B577" s="32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</row>
    <row r="578">
      <c r="A578" s="36"/>
      <c r="B578" s="32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</row>
    <row r="579">
      <c r="A579" s="36"/>
      <c r="B579" s="32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</row>
    <row r="580">
      <c r="A580" s="36"/>
      <c r="B580" s="32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</row>
    <row r="581">
      <c r="A581" s="36"/>
      <c r="B581" s="32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</row>
    <row r="582">
      <c r="A582" s="36"/>
      <c r="B582" s="32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</row>
    <row r="583">
      <c r="A583" s="36"/>
      <c r="B583" s="32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</row>
    <row r="584">
      <c r="A584" s="36"/>
      <c r="B584" s="32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</row>
    <row r="585">
      <c r="A585" s="36"/>
      <c r="B585" s="32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</row>
    <row r="586">
      <c r="A586" s="36"/>
      <c r="B586" s="32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</row>
    <row r="587">
      <c r="A587" s="36"/>
      <c r="B587" s="32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</row>
    <row r="588">
      <c r="A588" s="36"/>
      <c r="B588" s="32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</row>
    <row r="589">
      <c r="A589" s="36"/>
      <c r="B589" s="32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</row>
    <row r="590">
      <c r="A590" s="36"/>
      <c r="B590" s="32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</row>
    <row r="591">
      <c r="A591" s="36"/>
      <c r="B591" s="32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</row>
    <row r="592">
      <c r="A592" s="36"/>
      <c r="B592" s="32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</row>
    <row r="593">
      <c r="A593" s="36"/>
      <c r="B593" s="32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</row>
    <row r="594">
      <c r="A594" s="36"/>
      <c r="B594" s="32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</row>
    <row r="595">
      <c r="A595" s="36"/>
      <c r="B595" s="32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</row>
    <row r="596">
      <c r="A596" s="36"/>
      <c r="B596" s="32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</row>
    <row r="597">
      <c r="A597" s="36"/>
      <c r="B597" s="32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</row>
    <row r="598">
      <c r="A598" s="36"/>
      <c r="B598" s="32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</row>
    <row r="599">
      <c r="A599" s="36"/>
      <c r="B599" s="32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</row>
    <row r="600">
      <c r="A600" s="36"/>
      <c r="B600" s="32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</row>
    <row r="601">
      <c r="A601" s="36"/>
      <c r="B601" s="32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</row>
    <row r="602">
      <c r="A602" s="36"/>
      <c r="B602" s="32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</row>
    <row r="603">
      <c r="A603" s="36"/>
      <c r="B603" s="32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</row>
    <row r="604">
      <c r="A604" s="36"/>
      <c r="B604" s="32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</row>
    <row r="605">
      <c r="A605" s="36"/>
      <c r="B605" s="32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</row>
    <row r="606">
      <c r="A606" s="36"/>
      <c r="B606" s="32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</row>
    <row r="607">
      <c r="A607" s="36"/>
      <c r="B607" s="32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</row>
    <row r="608">
      <c r="A608" s="36"/>
      <c r="B608" s="32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</row>
    <row r="609">
      <c r="A609" s="36"/>
      <c r="B609" s="32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>
      <c r="A610" s="36"/>
      <c r="B610" s="32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</row>
    <row r="611">
      <c r="A611" s="36"/>
      <c r="B611" s="32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</row>
    <row r="612">
      <c r="A612" s="36"/>
      <c r="B612" s="32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</row>
    <row r="613">
      <c r="A613" s="36"/>
      <c r="B613" s="32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</row>
    <row r="614">
      <c r="A614" s="36"/>
      <c r="B614" s="32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</row>
    <row r="615">
      <c r="A615" s="36"/>
      <c r="B615" s="32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</row>
    <row r="616">
      <c r="A616" s="36"/>
      <c r="B616" s="32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</row>
    <row r="617">
      <c r="A617" s="36"/>
      <c r="B617" s="32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</row>
    <row r="618">
      <c r="A618" s="36"/>
      <c r="B618" s="32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</row>
    <row r="619">
      <c r="A619" s="36"/>
      <c r="B619" s="32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</row>
    <row r="620">
      <c r="A620" s="36"/>
      <c r="B620" s="32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</row>
    <row r="621">
      <c r="A621" s="36"/>
      <c r="B621" s="32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</row>
    <row r="622">
      <c r="A622" s="36"/>
      <c r="B622" s="32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</row>
    <row r="623">
      <c r="A623" s="36"/>
      <c r="B623" s="32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</row>
    <row r="624">
      <c r="A624" s="36"/>
      <c r="B624" s="32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</row>
    <row r="625">
      <c r="A625" s="36"/>
      <c r="B625" s="32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</row>
    <row r="626">
      <c r="A626" s="36"/>
      <c r="B626" s="32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</row>
    <row r="627">
      <c r="A627" s="36"/>
      <c r="B627" s="32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</row>
    <row r="628">
      <c r="A628" s="36"/>
      <c r="B628" s="32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>
      <c r="A629" s="36"/>
      <c r="B629" s="32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</row>
    <row r="630">
      <c r="A630" s="36"/>
      <c r="B630" s="32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</row>
    <row r="631">
      <c r="A631" s="36"/>
      <c r="B631" s="32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</row>
    <row r="632">
      <c r="A632" s="36"/>
      <c r="B632" s="32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</row>
    <row r="633">
      <c r="A633" s="36"/>
      <c r="B633" s="32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>
      <c r="A634" s="36"/>
      <c r="B634" s="32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>
      <c r="A635" s="36"/>
      <c r="B635" s="32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</row>
    <row r="636">
      <c r="A636" s="36"/>
      <c r="B636" s="32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</row>
    <row r="637">
      <c r="A637" s="36"/>
      <c r="B637" s="32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</row>
    <row r="638">
      <c r="A638" s="36"/>
      <c r="B638" s="32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</row>
    <row r="639">
      <c r="A639" s="36"/>
      <c r="B639" s="32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</row>
    <row r="640">
      <c r="A640" s="36"/>
      <c r="B640" s="32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</row>
    <row r="641">
      <c r="A641" s="36"/>
      <c r="B641" s="32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</row>
    <row r="642">
      <c r="A642" s="36"/>
      <c r="B642" s="32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</row>
    <row r="643">
      <c r="A643" s="36"/>
      <c r="B643" s="32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</row>
    <row r="644">
      <c r="A644" s="36"/>
      <c r="B644" s="32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</row>
    <row r="645">
      <c r="A645" s="36"/>
      <c r="B645" s="32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</row>
    <row r="646">
      <c r="A646" s="36"/>
      <c r="B646" s="32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</row>
    <row r="647">
      <c r="A647" s="36"/>
      <c r="B647" s="32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</row>
    <row r="648">
      <c r="A648" s="36"/>
      <c r="B648" s="32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</row>
    <row r="649">
      <c r="A649" s="36"/>
      <c r="B649" s="32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</row>
    <row r="650">
      <c r="A650" s="36"/>
      <c r="B650" s="32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</row>
    <row r="651">
      <c r="A651" s="36"/>
      <c r="B651" s="32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</row>
    <row r="652">
      <c r="A652" s="36"/>
      <c r="B652" s="32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</row>
    <row r="653">
      <c r="A653" s="36"/>
      <c r="B653" s="32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</row>
    <row r="654">
      <c r="A654" s="36"/>
      <c r="B654" s="32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</row>
    <row r="655">
      <c r="A655" s="36"/>
      <c r="B655" s="32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</row>
    <row r="656">
      <c r="A656" s="36"/>
      <c r="B656" s="32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</row>
    <row r="657">
      <c r="A657" s="36"/>
      <c r="B657" s="32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</row>
    <row r="658">
      <c r="A658" s="36"/>
      <c r="B658" s="32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</row>
    <row r="659">
      <c r="A659" s="36"/>
      <c r="B659" s="32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</row>
    <row r="660">
      <c r="A660" s="36"/>
      <c r="B660" s="32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</row>
    <row r="661">
      <c r="A661" s="36"/>
      <c r="B661" s="32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</row>
    <row r="662">
      <c r="A662" s="36"/>
      <c r="B662" s="32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</row>
    <row r="663">
      <c r="A663" s="36"/>
      <c r="B663" s="32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</row>
    <row r="664">
      <c r="A664" s="36"/>
      <c r="B664" s="32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</row>
    <row r="665">
      <c r="A665" s="36"/>
      <c r="B665" s="32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</row>
    <row r="666">
      <c r="A666" s="36"/>
      <c r="B666" s="32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</row>
    <row r="667">
      <c r="A667" s="36"/>
      <c r="B667" s="32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</row>
    <row r="668">
      <c r="A668" s="36"/>
      <c r="B668" s="32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</row>
    <row r="669">
      <c r="A669" s="36"/>
      <c r="B669" s="32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</row>
    <row r="670">
      <c r="A670" s="36"/>
      <c r="B670" s="32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</row>
    <row r="671">
      <c r="A671" s="36"/>
      <c r="B671" s="32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</row>
    <row r="672">
      <c r="A672" s="36"/>
      <c r="B672" s="32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</row>
    <row r="673">
      <c r="A673" s="36"/>
      <c r="B673" s="32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</row>
    <row r="674">
      <c r="A674" s="36"/>
      <c r="B674" s="32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</row>
    <row r="675">
      <c r="A675" s="36"/>
      <c r="B675" s="32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</row>
    <row r="676">
      <c r="A676" s="36"/>
      <c r="B676" s="32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</row>
    <row r="677">
      <c r="A677" s="36"/>
      <c r="B677" s="32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</row>
    <row r="678">
      <c r="A678" s="36"/>
      <c r="B678" s="32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</row>
    <row r="679">
      <c r="A679" s="36"/>
      <c r="B679" s="32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</row>
    <row r="680">
      <c r="A680" s="36"/>
      <c r="B680" s="32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</row>
    <row r="681">
      <c r="A681" s="36"/>
      <c r="B681" s="32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</row>
    <row r="682">
      <c r="A682" s="36"/>
      <c r="B682" s="32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</row>
    <row r="683">
      <c r="A683" s="36"/>
      <c r="B683" s="32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</row>
    <row r="684">
      <c r="A684" s="36"/>
      <c r="B684" s="32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</row>
    <row r="685">
      <c r="A685" s="36"/>
      <c r="B685" s="32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</row>
    <row r="686">
      <c r="A686" s="36"/>
      <c r="B686" s="32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</row>
    <row r="687">
      <c r="A687" s="36"/>
      <c r="B687" s="32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</row>
    <row r="688">
      <c r="A688" s="36"/>
      <c r="B688" s="32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</row>
    <row r="689">
      <c r="A689" s="36"/>
      <c r="B689" s="32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</row>
    <row r="690">
      <c r="A690" s="36"/>
      <c r="B690" s="32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</row>
    <row r="691">
      <c r="A691" s="36"/>
      <c r="B691" s="32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</row>
    <row r="692">
      <c r="A692" s="36"/>
      <c r="B692" s="32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</row>
    <row r="693">
      <c r="A693" s="36"/>
      <c r="B693" s="32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</row>
    <row r="694">
      <c r="A694" s="36"/>
      <c r="B694" s="32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</row>
    <row r="695">
      <c r="A695" s="36"/>
      <c r="B695" s="32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>
      <c r="A696" s="36"/>
      <c r="B696" s="32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</row>
    <row r="697">
      <c r="A697" s="36"/>
      <c r="B697" s="32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</row>
    <row r="698">
      <c r="A698" s="36"/>
      <c r="B698" s="32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>
      <c r="A699" s="36"/>
      <c r="B699" s="32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</row>
    <row r="700">
      <c r="A700" s="36"/>
      <c r="B700" s="32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</row>
    <row r="701">
      <c r="A701" s="36"/>
      <c r="B701" s="32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</row>
    <row r="702">
      <c r="A702" s="36"/>
      <c r="B702" s="32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</row>
    <row r="703">
      <c r="A703" s="36"/>
      <c r="B703" s="32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</row>
    <row r="704">
      <c r="A704" s="36"/>
      <c r="B704" s="32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</row>
    <row r="705">
      <c r="A705" s="36"/>
      <c r="B705" s="32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</row>
    <row r="706">
      <c r="A706" s="36"/>
      <c r="B706" s="32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</row>
    <row r="707">
      <c r="A707" s="36"/>
      <c r="B707" s="32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</row>
    <row r="708">
      <c r="A708" s="36"/>
      <c r="B708" s="32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</row>
    <row r="709">
      <c r="A709" s="36"/>
      <c r="B709" s="32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</row>
    <row r="710">
      <c r="A710" s="36"/>
      <c r="B710" s="32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</row>
    <row r="711">
      <c r="A711" s="36"/>
      <c r="B711" s="32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</row>
    <row r="712">
      <c r="A712" s="36"/>
      <c r="B712" s="32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</row>
    <row r="713">
      <c r="A713" s="36"/>
      <c r="B713" s="32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</row>
    <row r="714">
      <c r="A714" s="36"/>
      <c r="B714" s="32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</row>
    <row r="715">
      <c r="A715" s="36"/>
      <c r="B715" s="32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</row>
    <row r="716">
      <c r="A716" s="36"/>
      <c r="B716" s="32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</row>
    <row r="717">
      <c r="A717" s="36"/>
      <c r="B717" s="32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</row>
    <row r="718">
      <c r="A718" s="36"/>
      <c r="B718" s="32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</row>
    <row r="719">
      <c r="A719" s="36"/>
      <c r="B719" s="32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</row>
    <row r="720">
      <c r="A720" s="36"/>
      <c r="B720" s="32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</row>
    <row r="721">
      <c r="A721" s="36"/>
      <c r="B721" s="32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</row>
    <row r="722">
      <c r="A722" s="36"/>
      <c r="B722" s="32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</row>
    <row r="723">
      <c r="A723" s="36"/>
      <c r="B723" s="32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</row>
    <row r="724">
      <c r="A724" s="36"/>
      <c r="B724" s="32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</row>
    <row r="725">
      <c r="A725" s="36"/>
      <c r="B725" s="32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</row>
    <row r="726">
      <c r="A726" s="36"/>
      <c r="B726" s="32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</row>
    <row r="727">
      <c r="A727" s="36"/>
      <c r="B727" s="32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</row>
    <row r="728">
      <c r="A728" s="36"/>
      <c r="B728" s="32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</row>
    <row r="729">
      <c r="A729" s="36"/>
      <c r="B729" s="32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</row>
    <row r="730">
      <c r="A730" s="36"/>
      <c r="B730" s="32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</row>
    <row r="731">
      <c r="A731" s="36"/>
      <c r="B731" s="32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</row>
    <row r="732">
      <c r="A732" s="36"/>
      <c r="B732" s="32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</row>
    <row r="733">
      <c r="A733" s="36"/>
      <c r="B733" s="32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</row>
    <row r="734">
      <c r="A734" s="36"/>
      <c r="B734" s="32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</row>
    <row r="735">
      <c r="A735" s="36"/>
      <c r="B735" s="32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</row>
    <row r="736">
      <c r="A736" s="36"/>
      <c r="B736" s="32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</row>
    <row r="737">
      <c r="A737" s="36"/>
      <c r="B737" s="32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</row>
    <row r="738">
      <c r="A738" s="36"/>
      <c r="B738" s="32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</row>
    <row r="739">
      <c r="A739" s="36"/>
      <c r="B739" s="32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</row>
    <row r="740">
      <c r="A740" s="36"/>
      <c r="B740" s="32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</row>
    <row r="741">
      <c r="A741" s="36"/>
      <c r="B741" s="32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</row>
    <row r="742">
      <c r="A742" s="36"/>
      <c r="B742" s="32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</row>
    <row r="743">
      <c r="A743" s="36"/>
      <c r="B743" s="32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</row>
    <row r="744">
      <c r="A744" s="36"/>
      <c r="B744" s="32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</row>
    <row r="745">
      <c r="A745" s="36"/>
      <c r="B745" s="32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</row>
    <row r="746">
      <c r="A746" s="36"/>
      <c r="B746" s="32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</row>
    <row r="747">
      <c r="A747" s="36"/>
      <c r="B747" s="32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</row>
    <row r="748">
      <c r="A748" s="36"/>
      <c r="B748" s="32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</row>
    <row r="749">
      <c r="A749" s="36"/>
      <c r="B749" s="32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</row>
    <row r="750">
      <c r="A750" s="36"/>
      <c r="B750" s="32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</row>
    <row r="751">
      <c r="A751" s="36"/>
      <c r="B751" s="32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</row>
    <row r="752">
      <c r="A752" s="36"/>
      <c r="B752" s="32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</row>
    <row r="753">
      <c r="A753" s="36"/>
      <c r="B753" s="32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</row>
    <row r="754">
      <c r="A754" s="36"/>
      <c r="B754" s="32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</row>
    <row r="755">
      <c r="A755" s="36"/>
      <c r="B755" s="32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</row>
    <row r="756">
      <c r="A756" s="36"/>
      <c r="B756" s="32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</row>
    <row r="757">
      <c r="A757" s="36"/>
      <c r="B757" s="32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>
      <c r="A758" s="36"/>
      <c r="B758" s="32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</row>
    <row r="759">
      <c r="A759" s="36"/>
      <c r="B759" s="32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</row>
    <row r="760">
      <c r="A760" s="36"/>
      <c r="B760" s="32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</row>
    <row r="761">
      <c r="A761" s="36"/>
      <c r="B761" s="32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</row>
    <row r="762">
      <c r="A762" s="36"/>
      <c r="B762" s="32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</row>
    <row r="763">
      <c r="A763" s="36"/>
      <c r="B763" s="32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>
      <c r="A764" s="36"/>
      <c r="B764" s="32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</row>
    <row r="765">
      <c r="A765" s="36"/>
      <c r="B765" s="32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</row>
    <row r="766">
      <c r="A766" s="36"/>
      <c r="B766" s="32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</row>
    <row r="767">
      <c r="A767" s="36"/>
      <c r="B767" s="32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</row>
    <row r="768">
      <c r="A768" s="36"/>
      <c r="B768" s="32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</row>
    <row r="769">
      <c r="A769" s="36"/>
      <c r="B769" s="32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</row>
    <row r="770">
      <c r="A770" s="36"/>
      <c r="B770" s="32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>
      <c r="A771" s="36"/>
      <c r="B771" s="32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</row>
    <row r="772">
      <c r="A772" s="36"/>
      <c r="B772" s="32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</row>
    <row r="773">
      <c r="A773" s="36"/>
      <c r="B773" s="32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</row>
    <row r="774">
      <c r="A774" s="36"/>
      <c r="B774" s="32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</row>
    <row r="775">
      <c r="A775" s="36"/>
      <c r="B775" s="32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</row>
    <row r="776">
      <c r="A776" s="36"/>
      <c r="B776" s="32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</row>
    <row r="777">
      <c r="A777" s="36"/>
      <c r="B777" s="32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</row>
    <row r="778">
      <c r="A778" s="36"/>
      <c r="B778" s="32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</row>
    <row r="779">
      <c r="A779" s="36"/>
      <c r="B779" s="32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</row>
    <row r="780">
      <c r="A780" s="36"/>
      <c r="B780" s="32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</row>
    <row r="781">
      <c r="A781" s="36"/>
      <c r="B781" s="32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</row>
    <row r="782">
      <c r="A782" s="36"/>
      <c r="B782" s="32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</row>
    <row r="783">
      <c r="A783" s="36"/>
      <c r="B783" s="32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</row>
    <row r="784">
      <c r="A784" s="36"/>
      <c r="B784" s="32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</row>
    <row r="785">
      <c r="A785" s="36"/>
      <c r="B785" s="32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</row>
    <row r="786">
      <c r="A786" s="36"/>
      <c r="B786" s="32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</row>
    <row r="787">
      <c r="A787" s="36"/>
      <c r="B787" s="32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</row>
    <row r="788">
      <c r="A788" s="36"/>
      <c r="B788" s="32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</row>
    <row r="789">
      <c r="A789" s="36"/>
      <c r="B789" s="32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</row>
    <row r="790">
      <c r="A790" s="36"/>
      <c r="B790" s="32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</row>
    <row r="791">
      <c r="A791" s="36"/>
      <c r="B791" s="32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</row>
    <row r="792">
      <c r="A792" s="36"/>
      <c r="B792" s="32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</row>
    <row r="793">
      <c r="A793" s="36"/>
      <c r="B793" s="32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</row>
    <row r="794">
      <c r="A794" s="36"/>
      <c r="B794" s="32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</row>
    <row r="795">
      <c r="A795" s="36"/>
      <c r="B795" s="32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</row>
    <row r="796">
      <c r="A796" s="36"/>
      <c r="B796" s="32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</row>
    <row r="797">
      <c r="A797" s="36"/>
      <c r="B797" s="32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</row>
    <row r="798">
      <c r="A798" s="36"/>
      <c r="B798" s="32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</row>
    <row r="799">
      <c r="A799" s="36"/>
      <c r="B799" s="32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</row>
    <row r="800">
      <c r="A800" s="36"/>
      <c r="B800" s="32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</row>
    <row r="801">
      <c r="A801" s="36"/>
      <c r="B801" s="32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</row>
    <row r="802">
      <c r="A802" s="36"/>
      <c r="B802" s="32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</row>
    <row r="803">
      <c r="A803" s="36"/>
      <c r="B803" s="32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</row>
    <row r="804">
      <c r="A804" s="36"/>
      <c r="B804" s="32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</row>
    <row r="805">
      <c r="A805" s="36"/>
      <c r="B805" s="32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</row>
    <row r="806">
      <c r="A806" s="36"/>
      <c r="B806" s="32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</row>
    <row r="807">
      <c r="A807" s="36"/>
      <c r="B807" s="32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</row>
    <row r="808">
      <c r="A808" s="36"/>
      <c r="B808" s="32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</row>
    <row r="809">
      <c r="A809" s="36"/>
      <c r="B809" s="32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</row>
    <row r="810">
      <c r="A810" s="36"/>
      <c r="B810" s="32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</row>
    <row r="811">
      <c r="A811" s="36"/>
      <c r="B811" s="32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</row>
    <row r="812">
      <c r="A812" s="36"/>
      <c r="B812" s="32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</row>
    <row r="813">
      <c r="A813" s="36"/>
      <c r="B813" s="32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</row>
    <row r="814">
      <c r="A814" s="36"/>
      <c r="B814" s="32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</row>
    <row r="815">
      <c r="A815" s="36"/>
      <c r="B815" s="32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</row>
    <row r="816">
      <c r="A816" s="36"/>
      <c r="B816" s="32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</row>
    <row r="817">
      <c r="A817" s="36"/>
      <c r="B817" s="32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</row>
    <row r="818">
      <c r="A818" s="36"/>
      <c r="B818" s="32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</row>
    <row r="819">
      <c r="A819" s="36"/>
      <c r="B819" s="32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</row>
    <row r="820">
      <c r="A820" s="36"/>
      <c r="B820" s="32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</row>
    <row r="821">
      <c r="A821" s="36"/>
      <c r="B821" s="32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</row>
    <row r="822">
      <c r="A822" s="36"/>
      <c r="B822" s="32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</row>
    <row r="823">
      <c r="A823" s="36"/>
      <c r="B823" s="32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</row>
    <row r="824">
      <c r="A824" s="36"/>
      <c r="B824" s="32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>
      <c r="A825" s="36"/>
      <c r="B825" s="32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</row>
    <row r="826">
      <c r="A826" s="36"/>
      <c r="B826" s="32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>
      <c r="A827" s="36"/>
      <c r="B827" s="32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</row>
    <row r="828">
      <c r="A828" s="36"/>
      <c r="B828" s="32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</row>
    <row r="829">
      <c r="A829" s="36"/>
      <c r="B829" s="32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</row>
    <row r="830">
      <c r="A830" s="36"/>
      <c r="B830" s="32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</row>
    <row r="831">
      <c r="A831" s="36"/>
      <c r="B831" s="32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</row>
    <row r="832">
      <c r="A832" s="36"/>
      <c r="B832" s="32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</row>
    <row r="833">
      <c r="A833" s="36"/>
      <c r="B833" s="32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>
      <c r="A834" s="36"/>
      <c r="B834" s="32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</row>
    <row r="835">
      <c r="A835" s="36"/>
      <c r="B835" s="32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</row>
    <row r="836">
      <c r="A836" s="36"/>
      <c r="B836" s="32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</row>
    <row r="837">
      <c r="A837" s="36"/>
      <c r="B837" s="32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</row>
    <row r="838">
      <c r="A838" s="36"/>
      <c r="B838" s="32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</row>
    <row r="839">
      <c r="A839" s="36"/>
      <c r="B839" s="32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</row>
    <row r="840">
      <c r="A840" s="36"/>
      <c r="B840" s="32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</row>
    <row r="841">
      <c r="A841" s="36"/>
      <c r="B841" s="32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</row>
    <row r="842">
      <c r="A842" s="36"/>
      <c r="B842" s="32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</row>
    <row r="843">
      <c r="A843" s="36"/>
      <c r="B843" s="32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</row>
    <row r="844">
      <c r="A844" s="36"/>
      <c r="B844" s="32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</row>
    <row r="845">
      <c r="A845" s="36"/>
      <c r="B845" s="32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</row>
    <row r="846">
      <c r="A846" s="36"/>
      <c r="B846" s="32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</row>
    <row r="847">
      <c r="A847" s="36"/>
      <c r="B847" s="32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</row>
    <row r="848">
      <c r="A848" s="36"/>
      <c r="B848" s="32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</row>
    <row r="849">
      <c r="A849" s="36"/>
      <c r="B849" s="32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</row>
    <row r="850">
      <c r="A850" s="36"/>
      <c r="B850" s="32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</row>
    <row r="851">
      <c r="A851" s="36"/>
      <c r="B851" s="32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</row>
    <row r="852">
      <c r="A852" s="36"/>
      <c r="B852" s="32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</row>
    <row r="853">
      <c r="A853" s="36"/>
      <c r="B853" s="32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</row>
    <row r="854">
      <c r="A854" s="36"/>
      <c r="B854" s="32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</row>
    <row r="855">
      <c r="A855" s="36"/>
      <c r="B855" s="32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</row>
    <row r="856">
      <c r="A856" s="36"/>
      <c r="B856" s="32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</row>
    <row r="857">
      <c r="A857" s="36"/>
      <c r="B857" s="32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</row>
    <row r="858">
      <c r="A858" s="36"/>
      <c r="B858" s="32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</row>
    <row r="859">
      <c r="A859" s="36"/>
      <c r="B859" s="32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</row>
    <row r="860">
      <c r="A860" s="36"/>
      <c r="B860" s="32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</row>
    <row r="861">
      <c r="A861" s="36"/>
      <c r="B861" s="32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</row>
    <row r="862">
      <c r="A862" s="36"/>
      <c r="B862" s="32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</row>
    <row r="863">
      <c r="A863" s="36"/>
      <c r="B863" s="32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</row>
    <row r="864">
      <c r="A864" s="36"/>
      <c r="B864" s="32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</row>
    <row r="865">
      <c r="A865" s="36"/>
      <c r="B865" s="32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</row>
    <row r="866">
      <c r="A866" s="36"/>
      <c r="B866" s="32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</row>
    <row r="867">
      <c r="A867" s="36"/>
      <c r="B867" s="32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</row>
    <row r="868">
      <c r="A868" s="36"/>
      <c r="B868" s="32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</row>
    <row r="869">
      <c r="A869" s="36"/>
      <c r="B869" s="32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</row>
    <row r="870">
      <c r="A870" s="36"/>
      <c r="B870" s="32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</row>
    <row r="871">
      <c r="A871" s="36"/>
      <c r="B871" s="32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</row>
    <row r="872">
      <c r="A872" s="36"/>
      <c r="B872" s="32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</row>
    <row r="873">
      <c r="A873" s="36"/>
      <c r="B873" s="32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</row>
    <row r="874">
      <c r="A874" s="36"/>
      <c r="B874" s="32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</row>
    <row r="875">
      <c r="A875" s="36"/>
      <c r="B875" s="32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</row>
    <row r="876">
      <c r="A876" s="36"/>
      <c r="B876" s="32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</row>
    <row r="877">
      <c r="A877" s="36"/>
      <c r="B877" s="32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</row>
    <row r="878">
      <c r="A878" s="36"/>
      <c r="B878" s="32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</row>
    <row r="879">
      <c r="A879" s="36"/>
      <c r="B879" s="32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</row>
    <row r="880">
      <c r="A880" s="36"/>
      <c r="B880" s="32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</row>
    <row r="881">
      <c r="A881" s="36"/>
      <c r="B881" s="32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</row>
    <row r="882">
      <c r="A882" s="36"/>
      <c r="B882" s="32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</row>
    <row r="883">
      <c r="A883" s="36"/>
      <c r="B883" s="32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</row>
    <row r="884">
      <c r="A884" s="36"/>
      <c r="B884" s="32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</row>
    <row r="885">
      <c r="A885" s="36"/>
      <c r="B885" s="32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</row>
    <row r="886">
      <c r="A886" s="36"/>
      <c r="B886" s="32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</row>
    <row r="887">
      <c r="A887" s="36"/>
      <c r="B887" s="32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</row>
    <row r="888">
      <c r="A888" s="36"/>
      <c r="B888" s="32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</row>
    <row r="889">
      <c r="A889" s="36"/>
      <c r="B889" s="32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</row>
    <row r="890">
      <c r="A890" s="36"/>
      <c r="B890" s="32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</row>
    <row r="891">
      <c r="A891" s="36"/>
      <c r="B891" s="32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</row>
    <row r="892">
      <c r="A892" s="36"/>
      <c r="B892" s="32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</row>
    <row r="893">
      <c r="A893" s="36"/>
      <c r="B893" s="32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</row>
    <row r="894">
      <c r="A894" s="36"/>
      <c r="B894" s="32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</row>
    <row r="895">
      <c r="A895" s="36"/>
      <c r="B895" s="32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</row>
    <row r="896">
      <c r="A896" s="36"/>
      <c r="B896" s="32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</row>
    <row r="897">
      <c r="A897" s="36"/>
      <c r="B897" s="32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>
      <c r="A898" s="36"/>
      <c r="B898" s="32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</row>
    <row r="899">
      <c r="A899" s="36"/>
      <c r="B899" s="32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</row>
    <row r="900">
      <c r="A900" s="36"/>
      <c r="B900" s="32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</row>
    <row r="901">
      <c r="A901" s="36"/>
      <c r="B901" s="32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>
      <c r="A902" s="36"/>
      <c r="B902" s="32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>
      <c r="A903" s="36"/>
      <c r="B903" s="32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</row>
    <row r="904">
      <c r="A904" s="36"/>
      <c r="B904" s="32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</row>
    <row r="905">
      <c r="A905" s="36"/>
      <c r="B905" s="32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</row>
    <row r="906">
      <c r="A906" s="36"/>
      <c r="B906" s="32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</row>
    <row r="907">
      <c r="A907" s="36"/>
      <c r="B907" s="32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</row>
    <row r="908">
      <c r="A908" s="36"/>
      <c r="B908" s="32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</row>
    <row r="909">
      <c r="A909" s="36"/>
      <c r="B909" s="32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</row>
    <row r="910">
      <c r="A910" s="36"/>
      <c r="B910" s="32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</row>
    <row r="911">
      <c r="A911" s="36"/>
      <c r="B911" s="32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</row>
    <row r="912">
      <c r="A912" s="36"/>
      <c r="B912" s="32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</row>
    <row r="913">
      <c r="A913" s="36"/>
      <c r="B913" s="32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</row>
    <row r="914">
      <c r="A914" s="36"/>
      <c r="B914" s="32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</row>
    <row r="915">
      <c r="A915" s="36"/>
      <c r="B915" s="32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</row>
    <row r="916">
      <c r="A916" s="36"/>
      <c r="B916" s="32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</row>
    <row r="917">
      <c r="A917" s="36"/>
      <c r="B917" s="32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</row>
    <row r="918">
      <c r="A918" s="36"/>
      <c r="B918" s="32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</row>
    <row r="919">
      <c r="A919" s="36"/>
      <c r="B919" s="32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</row>
    <row r="920">
      <c r="A920" s="36"/>
      <c r="B920" s="32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</row>
    <row r="921">
      <c r="A921" s="36"/>
      <c r="B921" s="32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</row>
    <row r="922">
      <c r="A922" s="36"/>
      <c r="B922" s="32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</row>
    <row r="923">
      <c r="A923" s="36"/>
      <c r="B923" s="32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</row>
    <row r="924">
      <c r="A924" s="36"/>
      <c r="B924" s="32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</row>
    <row r="925">
      <c r="A925" s="36"/>
      <c r="B925" s="32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</row>
    <row r="926">
      <c r="A926" s="36"/>
      <c r="B926" s="32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</row>
    <row r="927">
      <c r="A927" s="36"/>
      <c r="B927" s="32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</row>
    <row r="928">
      <c r="A928" s="36"/>
      <c r="B928" s="32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</row>
    <row r="929">
      <c r="A929" s="36"/>
      <c r="B929" s="32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</row>
    <row r="930">
      <c r="A930" s="36"/>
      <c r="B930" s="32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</row>
    <row r="931">
      <c r="A931" s="36"/>
      <c r="B931" s="32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</row>
    <row r="932">
      <c r="A932" s="36"/>
      <c r="B932" s="32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</row>
    <row r="933">
      <c r="A933" s="36"/>
      <c r="B933" s="32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</row>
    <row r="934">
      <c r="A934" s="36"/>
      <c r="B934" s="32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</row>
    <row r="935">
      <c r="A935" s="36"/>
      <c r="B935" s="32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</row>
    <row r="936">
      <c r="A936" s="36"/>
      <c r="B936" s="32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</row>
    <row r="937">
      <c r="A937" s="36"/>
      <c r="B937" s="32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</row>
    <row r="938">
      <c r="A938" s="36"/>
      <c r="B938" s="32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</row>
    <row r="939">
      <c r="A939" s="36"/>
      <c r="B939" s="32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</row>
    <row r="940">
      <c r="A940" s="36"/>
      <c r="B940" s="32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</row>
    <row r="941">
      <c r="A941" s="36"/>
      <c r="B941" s="32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>
      <c r="A942" s="36"/>
      <c r="B942" s="32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</row>
    <row r="943">
      <c r="A943" s="36"/>
      <c r="B943" s="32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</row>
    <row r="944">
      <c r="A944" s="36"/>
      <c r="B944" s="32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</row>
    <row r="945">
      <c r="A945" s="36"/>
      <c r="B945" s="32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</row>
    <row r="946">
      <c r="A946" s="36"/>
      <c r="B946" s="32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</row>
    <row r="947">
      <c r="A947" s="36"/>
      <c r="B947" s="32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</row>
    <row r="948">
      <c r="A948" s="36"/>
      <c r="B948" s="32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</row>
    <row r="949">
      <c r="A949" s="36"/>
      <c r="B949" s="32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</row>
    <row r="950">
      <c r="A950" s="36"/>
      <c r="B950" s="32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</row>
    <row r="951">
      <c r="A951" s="36"/>
      <c r="B951" s="32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</row>
    <row r="952">
      <c r="A952" s="36"/>
      <c r="B952" s="32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</row>
    <row r="953">
      <c r="A953" s="36"/>
      <c r="B953" s="32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</row>
    <row r="954">
      <c r="A954" s="36"/>
      <c r="B954" s="32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</row>
    <row r="955">
      <c r="A955" s="36"/>
      <c r="B955" s="32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</row>
    <row r="956">
      <c r="A956" s="36"/>
      <c r="B956" s="32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>
      <c r="A957" s="36"/>
      <c r="B957" s="32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</row>
    <row r="958">
      <c r="A958" s="36"/>
      <c r="B958" s="32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</row>
    <row r="959">
      <c r="A959" s="36"/>
      <c r="B959" s="32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</row>
    <row r="960">
      <c r="A960" s="36"/>
      <c r="B960" s="32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>
      <c r="A961" s="36"/>
      <c r="B961" s="32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</row>
    <row r="962">
      <c r="A962" s="36"/>
      <c r="B962" s="32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</row>
    <row r="963">
      <c r="A963" s="36"/>
      <c r="B963" s="32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</row>
    <row r="964">
      <c r="A964" s="36"/>
      <c r="B964" s="32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</row>
    <row r="965">
      <c r="A965" s="36"/>
      <c r="B965" s="32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</row>
    <row r="966">
      <c r="A966" s="36"/>
      <c r="B966" s="32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</row>
    <row r="967">
      <c r="A967" s="36"/>
      <c r="B967" s="32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</row>
    <row r="968">
      <c r="A968" s="36"/>
      <c r="B968" s="32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</row>
    <row r="969">
      <c r="A969" s="36"/>
      <c r="B969" s="32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</row>
    <row r="970">
      <c r="A970" s="36"/>
      <c r="B970" s="32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</row>
    <row r="971">
      <c r="A971" s="36"/>
      <c r="B971" s="32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</row>
    <row r="972">
      <c r="A972" s="36"/>
      <c r="B972" s="32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</row>
    <row r="973">
      <c r="A973" s="36"/>
      <c r="B973" s="32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</row>
    <row r="974">
      <c r="A974" s="36"/>
      <c r="B974" s="32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</row>
    <row r="975">
      <c r="A975" s="36"/>
      <c r="B975" s="32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</row>
    <row r="976">
      <c r="A976" s="36"/>
      <c r="B976" s="32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</row>
    <row r="977">
      <c r="A977" s="36"/>
      <c r="B977" s="32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</row>
    <row r="978">
      <c r="A978" s="36"/>
      <c r="B978" s="32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</row>
    <row r="979">
      <c r="A979" s="36"/>
      <c r="B979" s="32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</row>
    <row r="980">
      <c r="A980" s="36"/>
      <c r="B980" s="32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</row>
    <row r="981">
      <c r="A981" s="36"/>
      <c r="B981" s="32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</row>
    <row r="982">
      <c r="A982" s="36"/>
      <c r="B982" s="32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</row>
    <row r="983">
      <c r="A983" s="36"/>
      <c r="B983" s="32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</row>
    <row r="984">
      <c r="A984" s="36"/>
      <c r="B984" s="32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</row>
    <row r="985">
      <c r="A985" s="36"/>
      <c r="B985" s="32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</row>
    <row r="986">
      <c r="A986" s="36"/>
      <c r="B986" s="32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</row>
    <row r="987">
      <c r="A987" s="36"/>
      <c r="B987" s="32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</row>
    <row r="988">
      <c r="A988" s="36"/>
      <c r="B988" s="32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</row>
    <row r="989">
      <c r="A989" s="36"/>
      <c r="B989" s="32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</row>
    <row r="990">
      <c r="A990" s="36"/>
      <c r="B990" s="32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</row>
    <row r="991">
      <c r="A991" s="36"/>
      <c r="B991" s="32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</row>
    <row r="992">
      <c r="A992" s="36"/>
      <c r="B992" s="32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</row>
    <row r="993">
      <c r="A993" s="36"/>
      <c r="B993" s="32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</row>
  </sheetData>
  <mergeCells count="12">
    <mergeCell ref="A1:A2"/>
    <mergeCell ref="A24:A25"/>
    <mergeCell ref="B24:E24"/>
    <mergeCell ref="F24:I24"/>
    <mergeCell ref="J24:M24"/>
    <mergeCell ref="B1:E1"/>
    <mergeCell ref="F1:I1"/>
    <mergeCell ref="J1:M1"/>
    <mergeCell ref="N1:Q1"/>
    <mergeCell ref="R1:U1"/>
    <mergeCell ref="V1:Y1"/>
    <mergeCell ref="Z1:AC1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54.38"/>
    <col customWidth="1" min="2" max="2" width="12.38"/>
  </cols>
  <sheetData>
    <row r="1">
      <c r="A1" s="40" t="s">
        <v>0</v>
      </c>
      <c r="B1" s="41" t="s">
        <v>1</v>
      </c>
      <c r="C1" s="3"/>
      <c r="D1" s="3"/>
      <c r="E1" s="4"/>
      <c r="F1" s="42" t="s">
        <v>2</v>
      </c>
      <c r="G1" s="3"/>
      <c r="H1" s="3"/>
      <c r="I1" s="4"/>
      <c r="J1" s="42" t="s">
        <v>3</v>
      </c>
      <c r="K1" s="3"/>
      <c r="L1" s="3"/>
      <c r="M1" s="4"/>
      <c r="N1" s="42" t="s">
        <v>4</v>
      </c>
      <c r="O1" s="3"/>
      <c r="P1" s="3"/>
      <c r="Q1" s="4"/>
      <c r="R1" s="42" t="s">
        <v>5</v>
      </c>
      <c r="S1" s="3"/>
      <c r="T1" s="3"/>
      <c r="U1" s="4"/>
      <c r="V1" s="42" t="s">
        <v>6</v>
      </c>
      <c r="W1" s="3"/>
      <c r="X1" s="3"/>
      <c r="Y1" s="4"/>
      <c r="Z1" s="42" t="s">
        <v>7</v>
      </c>
      <c r="AA1" s="3"/>
      <c r="AB1" s="3"/>
      <c r="AC1" s="4"/>
      <c r="AD1" s="43"/>
    </row>
    <row r="2">
      <c r="A2" s="7"/>
      <c r="B2" s="44">
        <v>2022.0</v>
      </c>
      <c r="C2" s="44">
        <v>2023.0</v>
      </c>
      <c r="D2" s="44">
        <v>2024.0</v>
      </c>
      <c r="E2" s="44">
        <v>2025.0</v>
      </c>
      <c r="F2" s="44">
        <v>2022.0</v>
      </c>
      <c r="G2" s="44">
        <v>2023.0</v>
      </c>
      <c r="H2" s="44">
        <v>2024.0</v>
      </c>
      <c r="I2" s="44">
        <v>2025.0</v>
      </c>
      <c r="J2" s="44">
        <v>2022.0</v>
      </c>
      <c r="K2" s="44">
        <v>2023.0</v>
      </c>
      <c r="L2" s="44">
        <v>2024.0</v>
      </c>
      <c r="M2" s="44" t="s">
        <v>8</v>
      </c>
      <c r="N2" s="44">
        <v>2022.0</v>
      </c>
      <c r="O2" s="44">
        <v>2023.0</v>
      </c>
      <c r="P2" s="44">
        <v>2024.0</v>
      </c>
      <c r="Q2" s="44" t="s">
        <v>9</v>
      </c>
      <c r="R2" s="44">
        <v>2022.0</v>
      </c>
      <c r="S2" s="44">
        <v>2023.0</v>
      </c>
      <c r="T2" s="44">
        <v>2024.0</v>
      </c>
      <c r="U2" s="44">
        <v>2025.0</v>
      </c>
      <c r="V2" s="44">
        <v>2022.0</v>
      </c>
      <c r="W2" s="44">
        <v>2023.0</v>
      </c>
      <c r="X2" s="44">
        <v>2024.0</v>
      </c>
      <c r="Y2" s="44">
        <v>2025.0</v>
      </c>
      <c r="Z2" s="44">
        <v>2022.0</v>
      </c>
      <c r="AA2" s="44">
        <v>2023.0</v>
      </c>
      <c r="AB2" s="44">
        <v>2024.0</v>
      </c>
      <c r="AC2" s="44">
        <v>2025.0</v>
      </c>
      <c r="AD2" s="43"/>
    </row>
    <row r="3">
      <c r="A3" s="47" t="s">
        <v>10</v>
      </c>
      <c r="B3" s="48">
        <v>9077.78</v>
      </c>
      <c r="C3" s="48">
        <v>9194.04</v>
      </c>
      <c r="D3" s="48">
        <v>9206.49</v>
      </c>
      <c r="E3" s="48">
        <v>9791.83</v>
      </c>
      <c r="F3" s="48">
        <v>26485.81</v>
      </c>
      <c r="G3" s="48">
        <v>26532.32</v>
      </c>
      <c r="H3" s="48">
        <v>26703.4</v>
      </c>
      <c r="I3" s="49">
        <v>29266.23</v>
      </c>
      <c r="J3" s="50">
        <v>1501.26</v>
      </c>
      <c r="K3" s="50">
        <v>1442.05</v>
      </c>
      <c r="L3" s="50">
        <v>1516.6</v>
      </c>
      <c r="M3" s="51">
        <v>1561.67</v>
      </c>
      <c r="N3" s="48">
        <v>113186.4</v>
      </c>
      <c r="O3" s="48">
        <v>113308.53</v>
      </c>
      <c r="P3" s="53">
        <v>115104.77</v>
      </c>
      <c r="Q3" s="54">
        <v>126696.5</v>
      </c>
      <c r="R3" s="48">
        <v>130762.52</v>
      </c>
      <c r="S3" s="48">
        <v>131330.54</v>
      </c>
      <c r="T3" s="48">
        <v>133162.54</v>
      </c>
      <c r="U3" s="48">
        <v>139530.4</v>
      </c>
      <c r="V3" s="48">
        <v>173747.56</v>
      </c>
      <c r="W3" s="48">
        <v>177668.37</v>
      </c>
      <c r="X3" s="48">
        <v>177809.48</v>
      </c>
      <c r="Y3" s="48">
        <v>186662.71</v>
      </c>
      <c r="Z3" s="55">
        <f t="shared" ref="Z3:AC3" si="1">B3+F3+J3+N3+R3+V3</f>
        <v>454761.33</v>
      </c>
      <c r="AA3" s="55">
        <f t="shared" si="1"/>
        <v>459475.85</v>
      </c>
      <c r="AB3" s="55">
        <f t="shared" si="1"/>
        <v>463503.28</v>
      </c>
      <c r="AC3" s="55">
        <f t="shared" si="1"/>
        <v>493509.34</v>
      </c>
      <c r="AD3" s="56"/>
    </row>
    <row r="4">
      <c r="A4" s="58" t="s">
        <v>11</v>
      </c>
      <c r="B4" s="48">
        <v>501.03</v>
      </c>
      <c r="C4" s="48">
        <v>517.33</v>
      </c>
      <c r="D4" s="48">
        <v>557.4</v>
      </c>
      <c r="E4" s="48">
        <v>591.97</v>
      </c>
      <c r="F4" s="48">
        <v>2208.48</v>
      </c>
      <c r="G4" s="48">
        <v>1844.63</v>
      </c>
      <c r="H4" s="48">
        <v>1713.75</v>
      </c>
      <c r="I4" s="49">
        <v>1728.33</v>
      </c>
      <c r="J4" s="50">
        <v>2400.31</v>
      </c>
      <c r="K4" s="50">
        <v>2094.15</v>
      </c>
      <c r="L4" s="50">
        <v>1983.75</v>
      </c>
      <c r="M4" s="51">
        <v>1830.18</v>
      </c>
      <c r="N4" s="48">
        <v>23880.32</v>
      </c>
      <c r="O4" s="48">
        <v>23857.09</v>
      </c>
      <c r="P4" s="53">
        <v>23842.6</v>
      </c>
      <c r="Q4" s="54">
        <v>23723.09</v>
      </c>
      <c r="R4" s="48">
        <v>20942.66</v>
      </c>
      <c r="S4" s="48">
        <v>21232.09</v>
      </c>
      <c r="T4" s="48">
        <v>21833.06</v>
      </c>
      <c r="U4" s="48">
        <v>22315.21</v>
      </c>
      <c r="V4" s="48">
        <v>71865.2</v>
      </c>
      <c r="W4" s="48">
        <v>73057.78</v>
      </c>
      <c r="X4" s="48">
        <v>72582.57</v>
      </c>
      <c r="Y4" s="48">
        <v>73673.07</v>
      </c>
      <c r="Z4" s="55">
        <f t="shared" ref="Z4:AC4" si="2">B4+F4+J4+N4+R4+V4</f>
        <v>121798</v>
      </c>
      <c r="AA4" s="55">
        <f t="shared" si="2"/>
        <v>122603.07</v>
      </c>
      <c r="AB4" s="55">
        <f t="shared" si="2"/>
        <v>122513.13</v>
      </c>
      <c r="AC4" s="55">
        <f t="shared" si="2"/>
        <v>123861.85</v>
      </c>
      <c r="AD4" s="56"/>
    </row>
    <row r="5">
      <c r="A5" s="58" t="s">
        <v>12</v>
      </c>
      <c r="B5" s="48">
        <v>12890.39</v>
      </c>
      <c r="C5" s="48">
        <v>13441.25</v>
      </c>
      <c r="D5" s="48">
        <v>13950.28</v>
      </c>
      <c r="E5" s="48">
        <v>14559.81</v>
      </c>
      <c r="F5" s="48">
        <v>160616.13</v>
      </c>
      <c r="G5" s="48">
        <v>169934.05</v>
      </c>
      <c r="H5" s="48">
        <v>178397.5</v>
      </c>
      <c r="I5" s="49">
        <v>187979.82</v>
      </c>
      <c r="J5" s="50">
        <v>228741.59</v>
      </c>
      <c r="K5" s="50">
        <v>232991.97</v>
      </c>
      <c r="L5" s="50">
        <v>235646.0</v>
      </c>
      <c r="M5" s="51">
        <v>239531.41</v>
      </c>
      <c r="N5" s="48">
        <v>683420.22</v>
      </c>
      <c r="O5" s="48">
        <v>715806.62</v>
      </c>
      <c r="P5" s="53">
        <v>741041.45</v>
      </c>
      <c r="Q5" s="54">
        <v>762103.15</v>
      </c>
      <c r="R5" s="48">
        <v>346169.65</v>
      </c>
      <c r="S5" s="48">
        <v>361111.03</v>
      </c>
      <c r="T5" s="48">
        <v>373837.72</v>
      </c>
      <c r="U5" s="48">
        <v>389026.51</v>
      </c>
      <c r="V5" s="48">
        <v>536394.03</v>
      </c>
      <c r="W5" s="48">
        <v>558448.65</v>
      </c>
      <c r="X5" s="48">
        <v>588598.82</v>
      </c>
      <c r="Y5" s="48">
        <v>623803.37</v>
      </c>
      <c r="Z5" s="55">
        <f t="shared" ref="Z5:AC5" si="3">B5+F5+J5+N5+R5+V5</f>
        <v>1968232.01</v>
      </c>
      <c r="AA5" s="55">
        <f t="shared" si="3"/>
        <v>2051733.57</v>
      </c>
      <c r="AB5" s="55">
        <f t="shared" si="3"/>
        <v>2131471.77</v>
      </c>
      <c r="AC5" s="55">
        <f t="shared" si="3"/>
        <v>2217004.07</v>
      </c>
      <c r="AD5" s="56"/>
    </row>
    <row r="6">
      <c r="A6" s="58" t="s">
        <v>13</v>
      </c>
      <c r="B6" s="48">
        <v>178.22</v>
      </c>
      <c r="C6" s="48">
        <v>191.26</v>
      </c>
      <c r="D6" s="48">
        <v>211.67</v>
      </c>
      <c r="E6" s="48">
        <v>221.32</v>
      </c>
      <c r="F6" s="48">
        <v>4639.58</v>
      </c>
      <c r="G6" s="48">
        <v>4571.07</v>
      </c>
      <c r="H6" s="48">
        <v>4156.25</v>
      </c>
      <c r="I6" s="49">
        <v>4248.46</v>
      </c>
      <c r="J6" s="50">
        <v>4261.4</v>
      </c>
      <c r="K6" s="50">
        <v>3961.69</v>
      </c>
      <c r="L6" s="50">
        <v>3315.23</v>
      </c>
      <c r="M6" s="51">
        <v>2901.2</v>
      </c>
      <c r="N6" s="48">
        <v>5843.37</v>
      </c>
      <c r="O6" s="48">
        <v>5854.08</v>
      </c>
      <c r="P6" s="53">
        <v>5818.98</v>
      </c>
      <c r="Q6" s="54">
        <v>5916.01</v>
      </c>
      <c r="R6" s="48">
        <v>1214.86</v>
      </c>
      <c r="S6" s="48">
        <v>1297.42</v>
      </c>
      <c r="T6" s="48">
        <v>1387.68</v>
      </c>
      <c r="U6" s="48">
        <v>1448.95</v>
      </c>
      <c r="V6" s="48">
        <v>5065.01</v>
      </c>
      <c r="W6" s="48">
        <v>6282.63</v>
      </c>
      <c r="X6" s="48">
        <v>6717.94</v>
      </c>
      <c r="Y6" s="48">
        <v>7060.88</v>
      </c>
      <c r="Z6" s="55">
        <f t="shared" ref="Z6:AC6" si="4">B6+F6+J6+N6+R6+V6</f>
        <v>21202.44</v>
      </c>
      <c r="AA6" s="55">
        <f t="shared" si="4"/>
        <v>22158.15</v>
      </c>
      <c r="AB6" s="55">
        <f t="shared" si="4"/>
        <v>21607.75</v>
      </c>
      <c r="AC6" s="55">
        <f t="shared" si="4"/>
        <v>21796.82</v>
      </c>
      <c r="AD6" s="56"/>
    </row>
    <row r="7">
      <c r="A7" s="47" t="s">
        <v>14</v>
      </c>
      <c r="B7" s="48">
        <v>114.64</v>
      </c>
      <c r="C7" s="48">
        <v>118.57</v>
      </c>
      <c r="D7" s="48">
        <v>119.62</v>
      </c>
      <c r="E7" s="48">
        <v>118.96</v>
      </c>
      <c r="F7" s="48">
        <v>512.65</v>
      </c>
      <c r="G7" s="48">
        <v>540.27</v>
      </c>
      <c r="H7" s="48">
        <v>561.21</v>
      </c>
      <c r="I7" s="49">
        <v>585.9</v>
      </c>
      <c r="J7" s="50">
        <v>777.42</v>
      </c>
      <c r="K7" s="50">
        <v>826.6</v>
      </c>
      <c r="L7" s="50">
        <v>830.59</v>
      </c>
      <c r="M7" s="51">
        <v>800.67</v>
      </c>
      <c r="N7" s="48">
        <v>1456.85</v>
      </c>
      <c r="O7" s="48">
        <v>1495.07</v>
      </c>
      <c r="P7" s="53">
        <v>1577.05</v>
      </c>
      <c r="Q7" s="54">
        <v>1618.71</v>
      </c>
      <c r="R7" s="48">
        <v>752.41</v>
      </c>
      <c r="S7" s="48">
        <v>783.02</v>
      </c>
      <c r="T7" s="48">
        <v>800.9</v>
      </c>
      <c r="U7" s="48">
        <v>811.85</v>
      </c>
      <c r="V7" s="48">
        <v>1800.78</v>
      </c>
      <c r="W7" s="48">
        <v>1853.34</v>
      </c>
      <c r="X7" s="48">
        <v>1894.78</v>
      </c>
      <c r="Y7" s="48">
        <v>1962.12</v>
      </c>
      <c r="Z7" s="55">
        <f t="shared" ref="Z7:AC7" si="5">B7+F7+J7+N7+R7+V7</f>
        <v>5414.75</v>
      </c>
      <c r="AA7" s="55">
        <f t="shared" si="5"/>
        <v>5616.87</v>
      </c>
      <c r="AB7" s="55">
        <f t="shared" si="5"/>
        <v>5784.15</v>
      </c>
      <c r="AC7" s="55">
        <f t="shared" si="5"/>
        <v>5898.21</v>
      </c>
      <c r="AD7" s="56"/>
    </row>
    <row r="8">
      <c r="A8" s="58" t="s">
        <v>15</v>
      </c>
      <c r="B8" s="48">
        <v>11193.38</v>
      </c>
      <c r="C8" s="48">
        <v>11732.07</v>
      </c>
      <c r="D8" s="48">
        <v>12713.05</v>
      </c>
      <c r="E8" s="48">
        <v>13717.54</v>
      </c>
      <c r="F8" s="48">
        <v>51944.23</v>
      </c>
      <c r="G8" s="48">
        <v>52700.7</v>
      </c>
      <c r="H8" s="48">
        <v>55803.68</v>
      </c>
      <c r="I8" s="49">
        <v>59089.91</v>
      </c>
      <c r="J8" s="50">
        <v>211217.76</v>
      </c>
      <c r="K8" s="50">
        <v>216505.24</v>
      </c>
      <c r="L8" s="50">
        <v>231632.64</v>
      </c>
      <c r="M8" s="51">
        <v>238914.21</v>
      </c>
      <c r="N8" s="48">
        <v>126184.39</v>
      </c>
      <c r="O8" s="48">
        <v>133549.61</v>
      </c>
      <c r="P8" s="53">
        <v>143014.89</v>
      </c>
      <c r="Q8" s="54">
        <v>150684.6</v>
      </c>
      <c r="R8" s="48">
        <v>108657.61</v>
      </c>
      <c r="S8" s="48">
        <v>115250.87</v>
      </c>
      <c r="T8" s="48">
        <v>124441.81</v>
      </c>
      <c r="U8" s="48">
        <v>132673.93</v>
      </c>
      <c r="V8" s="48">
        <v>162018.82</v>
      </c>
      <c r="W8" s="48">
        <v>170190.58</v>
      </c>
      <c r="X8" s="48">
        <v>181960.11</v>
      </c>
      <c r="Y8" s="48">
        <v>190304.86</v>
      </c>
      <c r="Z8" s="55">
        <f t="shared" ref="Z8:AC8" si="6">B8+F8+J8+N8+R8+V8</f>
        <v>671216.19</v>
      </c>
      <c r="AA8" s="55">
        <f t="shared" si="6"/>
        <v>699929.07</v>
      </c>
      <c r="AB8" s="55">
        <f t="shared" si="6"/>
        <v>749566.18</v>
      </c>
      <c r="AC8" s="55">
        <f t="shared" si="6"/>
        <v>785385.05</v>
      </c>
      <c r="AD8" s="56"/>
    </row>
    <row r="9">
      <c r="A9" s="58" t="s">
        <v>16</v>
      </c>
      <c r="B9" s="48">
        <v>8779.73</v>
      </c>
      <c r="C9" s="48">
        <v>9159.47</v>
      </c>
      <c r="D9" s="48">
        <v>9521.98</v>
      </c>
      <c r="E9" s="48">
        <v>10024.25</v>
      </c>
      <c r="F9" s="48">
        <v>64030.67</v>
      </c>
      <c r="G9" s="48">
        <v>66574.78</v>
      </c>
      <c r="H9" s="48">
        <v>69454.87</v>
      </c>
      <c r="I9" s="49">
        <v>72655.41</v>
      </c>
      <c r="J9" s="50">
        <v>307754.12</v>
      </c>
      <c r="K9" s="50">
        <v>321661.05</v>
      </c>
      <c r="L9" s="50">
        <v>343770.7</v>
      </c>
      <c r="M9" s="51">
        <v>362681.18</v>
      </c>
      <c r="N9" s="48">
        <v>230532.56</v>
      </c>
      <c r="O9" s="48">
        <v>240583.84</v>
      </c>
      <c r="P9" s="53">
        <v>252244.61</v>
      </c>
      <c r="Q9" s="54">
        <v>264862.53</v>
      </c>
      <c r="R9" s="48">
        <v>153670.44</v>
      </c>
      <c r="S9" s="48">
        <v>161240.41</v>
      </c>
      <c r="T9" s="48">
        <v>167931.17</v>
      </c>
      <c r="U9" s="48">
        <v>175700.39</v>
      </c>
      <c r="V9" s="48">
        <v>333626.69</v>
      </c>
      <c r="W9" s="48">
        <v>352837.67</v>
      </c>
      <c r="X9" s="48">
        <v>368875.69</v>
      </c>
      <c r="Y9" s="48">
        <v>383580.62</v>
      </c>
      <c r="Z9" s="55">
        <f t="shared" ref="Z9:AC9" si="7">B9+F9+J9+N9+R9+V9</f>
        <v>1098394.21</v>
      </c>
      <c r="AA9" s="55">
        <f t="shared" si="7"/>
        <v>1152057.22</v>
      </c>
      <c r="AB9" s="55">
        <f t="shared" si="7"/>
        <v>1211799.02</v>
      </c>
      <c r="AC9" s="55">
        <f t="shared" si="7"/>
        <v>1269504.38</v>
      </c>
      <c r="AD9" s="56"/>
    </row>
    <row r="10">
      <c r="A10" s="58" t="s">
        <v>17</v>
      </c>
      <c r="B10" s="48">
        <v>5287.74</v>
      </c>
      <c r="C10" s="48">
        <v>5822.82</v>
      </c>
      <c r="D10" s="48">
        <v>6186.17</v>
      </c>
      <c r="E10" s="48">
        <v>6530.34</v>
      </c>
      <c r="F10" s="48">
        <v>27947.76</v>
      </c>
      <c r="G10" s="48">
        <v>31433.2</v>
      </c>
      <c r="H10" s="48">
        <v>33428.91</v>
      </c>
      <c r="I10" s="49">
        <v>34833.14</v>
      </c>
      <c r="J10" s="50">
        <v>74214.76</v>
      </c>
      <c r="K10" s="50">
        <v>84642.25</v>
      </c>
      <c r="L10" s="50">
        <v>90533.4</v>
      </c>
      <c r="M10" s="51">
        <v>98400.67</v>
      </c>
      <c r="N10" s="48">
        <v>75521.57</v>
      </c>
      <c r="O10" s="48">
        <v>83777.21</v>
      </c>
      <c r="P10" s="53">
        <v>94113.89</v>
      </c>
      <c r="Q10" s="54">
        <v>104938.19</v>
      </c>
      <c r="R10" s="48">
        <v>42103.03</v>
      </c>
      <c r="S10" s="48">
        <v>45523.39</v>
      </c>
      <c r="T10" s="48">
        <v>48052.76</v>
      </c>
      <c r="U10" s="48">
        <v>51285.06</v>
      </c>
      <c r="V10" s="48">
        <v>53240.33</v>
      </c>
      <c r="W10" s="48">
        <v>60314.16</v>
      </c>
      <c r="X10" s="48">
        <v>66044.82</v>
      </c>
      <c r="Y10" s="48">
        <v>70889.1</v>
      </c>
      <c r="Z10" s="55">
        <f t="shared" ref="Z10:AC10" si="8">B10+F10+J10+N10+R10+V10</f>
        <v>278315.19</v>
      </c>
      <c r="AA10" s="55">
        <f t="shared" si="8"/>
        <v>311513.03</v>
      </c>
      <c r="AB10" s="55">
        <f t="shared" si="8"/>
        <v>338359.95</v>
      </c>
      <c r="AC10" s="55">
        <f t="shared" si="8"/>
        <v>366876.5</v>
      </c>
      <c r="AD10" s="56"/>
    </row>
    <row r="11">
      <c r="A11" s="58" t="s">
        <v>18</v>
      </c>
      <c r="B11" s="48">
        <v>10259.81</v>
      </c>
      <c r="C11" s="48">
        <v>11173.46</v>
      </c>
      <c r="D11" s="48">
        <v>12131.02</v>
      </c>
      <c r="E11" s="48">
        <v>12899.6</v>
      </c>
      <c r="F11" s="48">
        <v>12249.58</v>
      </c>
      <c r="G11" s="48">
        <v>13284.07</v>
      </c>
      <c r="H11" s="48">
        <v>14221.36</v>
      </c>
      <c r="I11" s="49">
        <v>15157.59</v>
      </c>
      <c r="J11" s="50">
        <v>91152.68</v>
      </c>
      <c r="K11" s="50">
        <v>99983.06</v>
      </c>
      <c r="L11" s="50">
        <v>108295.65</v>
      </c>
      <c r="M11" s="51">
        <v>118398.38</v>
      </c>
      <c r="N11" s="48">
        <v>42972.84</v>
      </c>
      <c r="O11" s="48">
        <v>46721.89</v>
      </c>
      <c r="P11" s="53">
        <v>49724.89</v>
      </c>
      <c r="Q11" s="54">
        <v>54866.88</v>
      </c>
      <c r="R11" s="48">
        <v>38132.45</v>
      </c>
      <c r="S11" s="48">
        <v>42417.2</v>
      </c>
      <c r="T11" s="48">
        <v>46670.27</v>
      </c>
      <c r="U11" s="48">
        <v>51617.3</v>
      </c>
      <c r="V11" s="48">
        <v>9452.21</v>
      </c>
      <c r="W11" s="48">
        <v>101732.19</v>
      </c>
      <c r="X11" s="48">
        <v>108833.45</v>
      </c>
      <c r="Y11" s="48">
        <v>117602.95</v>
      </c>
      <c r="Z11" s="55">
        <f t="shared" ref="Z11:AC11" si="9">B11+F11+J11+N11+R11+V11</f>
        <v>204219.57</v>
      </c>
      <c r="AA11" s="55">
        <f t="shared" si="9"/>
        <v>315311.87</v>
      </c>
      <c r="AB11" s="55">
        <f t="shared" si="9"/>
        <v>339876.64</v>
      </c>
      <c r="AC11" s="55">
        <f t="shared" si="9"/>
        <v>370542.7</v>
      </c>
      <c r="AD11" s="56"/>
    </row>
    <row r="12">
      <c r="A12" s="58" t="s">
        <v>19</v>
      </c>
      <c r="B12" s="48">
        <v>16907.39</v>
      </c>
      <c r="C12" s="48">
        <v>17631.3</v>
      </c>
      <c r="D12" s="48">
        <v>18396.74</v>
      </c>
      <c r="E12" s="48">
        <v>19195.07</v>
      </c>
      <c r="F12" s="48">
        <v>33161.9</v>
      </c>
      <c r="G12" s="48">
        <v>35734.64</v>
      </c>
      <c r="H12" s="48">
        <v>37823.43</v>
      </c>
      <c r="I12" s="49">
        <v>39950.35</v>
      </c>
      <c r="J12" s="50">
        <v>262247.28</v>
      </c>
      <c r="K12" s="50">
        <v>281781.27</v>
      </c>
      <c r="L12" s="50">
        <v>295297.83</v>
      </c>
      <c r="M12" s="51">
        <v>313673.07</v>
      </c>
      <c r="N12" s="48">
        <v>97480.64</v>
      </c>
      <c r="O12" s="48">
        <v>105146.0</v>
      </c>
      <c r="P12" s="53">
        <v>113765.59</v>
      </c>
      <c r="Q12" s="54">
        <v>124147.98</v>
      </c>
      <c r="R12" s="48">
        <v>63846.51</v>
      </c>
      <c r="S12" s="48">
        <v>70658.78</v>
      </c>
      <c r="T12" s="48">
        <v>77416.08</v>
      </c>
      <c r="U12" s="48">
        <v>84182.23</v>
      </c>
      <c r="V12" s="48">
        <v>119126.09</v>
      </c>
      <c r="W12" s="48">
        <v>126994.5</v>
      </c>
      <c r="X12" s="48">
        <v>135158.83</v>
      </c>
      <c r="Y12" s="48">
        <v>145374.43</v>
      </c>
      <c r="Z12" s="55">
        <f t="shared" ref="Z12:AC12" si="10">B12+F12+J12+N12+R12+V12</f>
        <v>592769.81</v>
      </c>
      <c r="AA12" s="55">
        <f t="shared" si="10"/>
        <v>637946.49</v>
      </c>
      <c r="AB12" s="55">
        <f t="shared" si="10"/>
        <v>677858.5</v>
      </c>
      <c r="AC12" s="55">
        <f t="shared" si="10"/>
        <v>726523.13</v>
      </c>
      <c r="AD12" s="56"/>
    </row>
    <row r="13">
      <c r="A13" s="58" t="s">
        <v>20</v>
      </c>
      <c r="B13" s="48">
        <v>4018.73</v>
      </c>
      <c r="C13" s="48">
        <v>4432.25</v>
      </c>
      <c r="D13" s="48">
        <v>4721.39</v>
      </c>
      <c r="E13" s="48">
        <v>4794.84</v>
      </c>
      <c r="F13" s="48">
        <v>14912.11</v>
      </c>
      <c r="G13" s="48">
        <v>14810.0</v>
      </c>
      <c r="H13" s="48">
        <v>14850.57</v>
      </c>
      <c r="I13" s="49">
        <v>14594.36</v>
      </c>
      <c r="J13" s="50">
        <v>210508.45</v>
      </c>
      <c r="K13" s="50">
        <v>221857.65</v>
      </c>
      <c r="L13" s="50">
        <v>233740.3</v>
      </c>
      <c r="M13" s="51">
        <v>242701.8</v>
      </c>
      <c r="N13" s="48">
        <v>38743.11</v>
      </c>
      <c r="O13" s="48">
        <v>40184.13</v>
      </c>
      <c r="P13" s="53">
        <v>41870.17</v>
      </c>
      <c r="Q13" s="54">
        <v>43238.82</v>
      </c>
      <c r="R13" s="48">
        <v>27690.76</v>
      </c>
      <c r="S13" s="48">
        <v>28289.1</v>
      </c>
      <c r="T13" s="48">
        <v>28899.58</v>
      </c>
      <c r="U13" s="48">
        <v>30519.47</v>
      </c>
      <c r="V13" s="48">
        <v>43096.15</v>
      </c>
      <c r="W13" s="48">
        <v>44731.09</v>
      </c>
      <c r="X13" s="48">
        <v>46473.15</v>
      </c>
      <c r="Y13" s="48">
        <v>47512.44</v>
      </c>
      <c r="Z13" s="55">
        <f t="shared" ref="Z13:AC13" si="11">B13+F13+J13+N13+R13+V13</f>
        <v>338969.31</v>
      </c>
      <c r="AA13" s="55">
        <f t="shared" si="11"/>
        <v>354304.22</v>
      </c>
      <c r="AB13" s="55">
        <f t="shared" si="11"/>
        <v>370555.16</v>
      </c>
      <c r="AC13" s="55">
        <f t="shared" si="11"/>
        <v>383361.73</v>
      </c>
      <c r="AD13" s="56"/>
    </row>
    <row r="14">
      <c r="A14" s="58" t="s">
        <v>21</v>
      </c>
      <c r="B14" s="48">
        <v>7864.69</v>
      </c>
      <c r="C14" s="48">
        <v>8155.53</v>
      </c>
      <c r="D14" s="48">
        <v>8487.82</v>
      </c>
      <c r="E14" s="48">
        <v>8831.62</v>
      </c>
      <c r="F14" s="48">
        <v>44509.24</v>
      </c>
      <c r="G14" s="48">
        <v>46071.63</v>
      </c>
      <c r="H14" s="48">
        <v>47716.22</v>
      </c>
      <c r="I14" s="49">
        <v>50549.62</v>
      </c>
      <c r="J14" s="50">
        <v>122960.43</v>
      </c>
      <c r="K14" s="50">
        <v>123874.01</v>
      </c>
      <c r="L14" s="50">
        <v>125748.53</v>
      </c>
      <c r="M14" s="51">
        <v>129233.11</v>
      </c>
      <c r="N14" s="48">
        <v>22993.05</v>
      </c>
      <c r="O14" s="48">
        <v>24426.12</v>
      </c>
      <c r="P14" s="53">
        <v>26046.99</v>
      </c>
      <c r="Q14" s="54">
        <v>28187.87</v>
      </c>
      <c r="R14" s="48">
        <v>20107.1</v>
      </c>
      <c r="S14" s="48">
        <v>21494.52</v>
      </c>
      <c r="T14" s="48">
        <v>22764.06</v>
      </c>
      <c r="U14" s="48">
        <v>24042.7</v>
      </c>
      <c r="V14" s="48">
        <v>31618.65</v>
      </c>
      <c r="W14" s="48">
        <v>32469.01</v>
      </c>
      <c r="X14" s="48">
        <v>33414.39</v>
      </c>
      <c r="Y14" s="48">
        <v>34538.09</v>
      </c>
      <c r="Z14" s="55">
        <f t="shared" ref="Z14:AC14" si="12">B14+F14+J14+N14+R14+V14</f>
        <v>250053.16</v>
      </c>
      <c r="AA14" s="55">
        <f t="shared" si="12"/>
        <v>256490.82</v>
      </c>
      <c r="AB14" s="55">
        <f t="shared" si="12"/>
        <v>264178.01</v>
      </c>
      <c r="AC14" s="55">
        <f t="shared" si="12"/>
        <v>275383.01</v>
      </c>
      <c r="AD14" s="56"/>
    </row>
    <row r="15">
      <c r="A15" s="58" t="s">
        <v>22</v>
      </c>
      <c r="B15" s="48">
        <v>1206.95</v>
      </c>
      <c r="C15" s="48">
        <v>1304.87</v>
      </c>
      <c r="D15" s="48">
        <v>1379.82</v>
      </c>
      <c r="E15" s="48">
        <v>1441.25</v>
      </c>
      <c r="F15" s="48">
        <v>4734.99</v>
      </c>
      <c r="G15" s="48">
        <v>5079.95</v>
      </c>
      <c r="H15" s="48">
        <v>5411.81</v>
      </c>
      <c r="I15" s="49">
        <v>5764.16</v>
      </c>
      <c r="J15" s="50">
        <v>160597.53</v>
      </c>
      <c r="K15" s="50">
        <v>171012.97</v>
      </c>
      <c r="L15" s="50">
        <v>179075.25</v>
      </c>
      <c r="M15" s="51">
        <v>192789.53</v>
      </c>
      <c r="N15" s="48">
        <v>6851.04</v>
      </c>
      <c r="O15" s="48">
        <v>7350.91</v>
      </c>
      <c r="P15" s="53">
        <v>7534.11</v>
      </c>
      <c r="Q15" s="54">
        <v>8226.54</v>
      </c>
      <c r="R15" s="48">
        <v>4051.19</v>
      </c>
      <c r="S15" s="48">
        <v>4344.41</v>
      </c>
      <c r="T15" s="48">
        <v>4741.92</v>
      </c>
      <c r="U15" s="48">
        <v>5114.67</v>
      </c>
      <c r="V15" s="48">
        <v>13112.65</v>
      </c>
      <c r="W15" s="48">
        <v>14196.94</v>
      </c>
      <c r="X15" s="48">
        <v>15316.23</v>
      </c>
      <c r="Y15" s="48">
        <v>16730.96</v>
      </c>
      <c r="Z15" s="55">
        <f t="shared" ref="Z15:AC15" si="13">B15+F15+J15+N15+R15+V15</f>
        <v>190554.35</v>
      </c>
      <c r="AA15" s="55">
        <f t="shared" si="13"/>
        <v>203290.05</v>
      </c>
      <c r="AB15" s="55">
        <f t="shared" si="13"/>
        <v>213459.14</v>
      </c>
      <c r="AC15" s="55">
        <f t="shared" si="13"/>
        <v>230067.11</v>
      </c>
      <c r="AD15" s="56"/>
    </row>
    <row r="16">
      <c r="A16" s="47" t="s">
        <v>23</v>
      </c>
      <c r="B16" s="48">
        <v>7497.26</v>
      </c>
      <c r="C16" s="48">
        <v>7684.43</v>
      </c>
      <c r="D16" s="48">
        <v>8181.35</v>
      </c>
      <c r="E16" s="48">
        <v>8691.93</v>
      </c>
      <c r="F16" s="48">
        <v>8129.36</v>
      </c>
      <c r="G16" s="48">
        <v>8284.55</v>
      </c>
      <c r="H16" s="48">
        <v>9670.75</v>
      </c>
      <c r="I16" s="49">
        <v>10158.72</v>
      </c>
      <c r="J16" s="50">
        <v>65903.85</v>
      </c>
      <c r="K16" s="50">
        <v>65927.42</v>
      </c>
      <c r="L16" s="50">
        <v>66748.89</v>
      </c>
      <c r="M16" s="51">
        <v>70328.04</v>
      </c>
      <c r="N16" s="48">
        <v>25710.27</v>
      </c>
      <c r="O16" s="48">
        <v>26337.53</v>
      </c>
      <c r="P16" s="53">
        <v>28635.78</v>
      </c>
      <c r="Q16" s="54">
        <v>29786.49</v>
      </c>
      <c r="R16" s="48">
        <v>24915.02</v>
      </c>
      <c r="S16" s="48">
        <v>25944.09</v>
      </c>
      <c r="T16" s="48">
        <v>27897.21</v>
      </c>
      <c r="U16" s="48">
        <v>28525.56</v>
      </c>
      <c r="V16" s="48">
        <v>35038.58</v>
      </c>
      <c r="W16" s="48">
        <v>35054.16</v>
      </c>
      <c r="X16" s="48">
        <v>37780.98</v>
      </c>
      <c r="Y16" s="48">
        <v>38572.93</v>
      </c>
      <c r="Z16" s="55">
        <f t="shared" ref="Z16:AC16" si="14">B16+F16+J16+N16+R16+V16</f>
        <v>167194.34</v>
      </c>
      <c r="AA16" s="55">
        <f t="shared" si="14"/>
        <v>169232.18</v>
      </c>
      <c r="AB16" s="55">
        <f t="shared" si="14"/>
        <v>178914.96</v>
      </c>
      <c r="AC16" s="55">
        <f t="shared" si="14"/>
        <v>186063.67</v>
      </c>
      <c r="AD16" s="56"/>
    </row>
    <row r="17">
      <c r="A17" s="58" t="s">
        <v>24</v>
      </c>
      <c r="B17" s="48">
        <v>10131.25</v>
      </c>
      <c r="C17" s="48">
        <v>10608.42</v>
      </c>
      <c r="D17" s="48">
        <v>11040.87</v>
      </c>
      <c r="E17" s="48">
        <v>11678.27</v>
      </c>
      <c r="F17" s="48">
        <v>13992.86</v>
      </c>
      <c r="G17" s="48">
        <v>14801.04</v>
      </c>
      <c r="H17" s="48">
        <v>15536.43</v>
      </c>
      <c r="I17" s="49">
        <v>16712.65</v>
      </c>
      <c r="J17" s="50">
        <v>87753.29</v>
      </c>
      <c r="K17" s="50">
        <v>88808.74</v>
      </c>
      <c r="L17" s="50">
        <v>92590.16</v>
      </c>
      <c r="M17" s="51">
        <v>98916.94</v>
      </c>
      <c r="N17" s="48">
        <v>46244.59</v>
      </c>
      <c r="O17" s="48">
        <v>48575.41</v>
      </c>
      <c r="P17" s="53">
        <v>51464.14</v>
      </c>
      <c r="Q17" s="54">
        <v>54833.43</v>
      </c>
      <c r="R17" s="48">
        <v>39589.05</v>
      </c>
      <c r="S17" s="48">
        <v>41951.57</v>
      </c>
      <c r="T17" s="48">
        <v>45530.22</v>
      </c>
      <c r="U17" s="48">
        <v>48491.96</v>
      </c>
      <c r="V17" s="48">
        <v>46578.62</v>
      </c>
      <c r="W17" s="48">
        <v>48831.68</v>
      </c>
      <c r="X17" s="48">
        <v>51180.4</v>
      </c>
      <c r="Y17" s="48">
        <v>54313.3</v>
      </c>
      <c r="Z17" s="55">
        <f t="shared" ref="Z17:AC17" si="15">B17+F17+J17+N17+R17+V17</f>
        <v>244289.66</v>
      </c>
      <c r="AA17" s="55">
        <f t="shared" si="15"/>
        <v>253576.86</v>
      </c>
      <c r="AB17" s="55">
        <f t="shared" si="15"/>
        <v>267342.22</v>
      </c>
      <c r="AC17" s="55">
        <f t="shared" si="15"/>
        <v>284946.55</v>
      </c>
      <c r="AD17" s="56"/>
    </row>
    <row r="18">
      <c r="A18" s="58" t="s">
        <v>25</v>
      </c>
      <c r="B18" s="48">
        <v>3579.58</v>
      </c>
      <c r="C18" s="48">
        <v>3805.74</v>
      </c>
      <c r="D18" s="48">
        <v>4009.28</v>
      </c>
      <c r="E18" s="48">
        <v>4299.31</v>
      </c>
      <c r="F18" s="48">
        <v>6857.86</v>
      </c>
      <c r="G18" s="48">
        <v>7355.42</v>
      </c>
      <c r="H18" s="48">
        <v>8014.95</v>
      </c>
      <c r="I18" s="49">
        <v>8264.36</v>
      </c>
      <c r="J18" s="50">
        <v>43362.28</v>
      </c>
      <c r="K18" s="50">
        <v>45901.07</v>
      </c>
      <c r="L18" s="50">
        <v>48385.48</v>
      </c>
      <c r="M18" s="51">
        <v>50863.07</v>
      </c>
      <c r="N18" s="48">
        <v>13404.19</v>
      </c>
      <c r="O18" s="48">
        <v>14189.42</v>
      </c>
      <c r="P18" s="53">
        <v>15038.14</v>
      </c>
      <c r="Q18" s="54">
        <v>16510.72</v>
      </c>
      <c r="R18" s="48">
        <v>9709.66</v>
      </c>
      <c r="S18" s="48">
        <v>10274.55</v>
      </c>
      <c r="T18" s="48">
        <v>11022.21</v>
      </c>
      <c r="U18" s="48">
        <v>11573.88</v>
      </c>
      <c r="V18" s="48">
        <v>13143.41</v>
      </c>
      <c r="W18" s="48">
        <v>13653.77</v>
      </c>
      <c r="X18" s="48">
        <v>14408.63</v>
      </c>
      <c r="Y18" s="48">
        <v>15342.46</v>
      </c>
      <c r="Z18" s="55">
        <f t="shared" ref="Z18:AC18" si="16">B18+F18+J18+N18+R18+V18</f>
        <v>90056.98</v>
      </c>
      <c r="AA18" s="55">
        <f t="shared" si="16"/>
        <v>95179.97</v>
      </c>
      <c r="AB18" s="55">
        <f t="shared" si="16"/>
        <v>100878.69</v>
      </c>
      <c r="AC18" s="55">
        <f t="shared" si="16"/>
        <v>106853.8</v>
      </c>
      <c r="AD18" s="56"/>
    </row>
    <row r="19">
      <c r="A19" s="58" t="s">
        <v>26</v>
      </c>
      <c r="B19" s="48">
        <v>3412.77</v>
      </c>
      <c r="C19" s="48">
        <v>3652.74</v>
      </c>
      <c r="D19" s="48">
        <v>3775.49</v>
      </c>
      <c r="E19" s="48">
        <v>4048.02</v>
      </c>
      <c r="F19" s="48">
        <v>7198.0</v>
      </c>
      <c r="G19" s="48">
        <v>7873.42</v>
      </c>
      <c r="H19" s="48">
        <v>8270.15</v>
      </c>
      <c r="I19" s="49">
        <v>8731.87</v>
      </c>
      <c r="J19" s="50">
        <v>78134.58</v>
      </c>
      <c r="K19" s="50">
        <v>87201.78</v>
      </c>
      <c r="L19" s="50">
        <v>91930.32</v>
      </c>
      <c r="M19" s="51">
        <v>99711.9</v>
      </c>
      <c r="N19" s="48">
        <v>35559.49</v>
      </c>
      <c r="O19" s="48">
        <v>38253.41</v>
      </c>
      <c r="P19" s="53">
        <v>41286.15</v>
      </c>
      <c r="Q19" s="54">
        <v>44975.22</v>
      </c>
      <c r="R19" s="48">
        <v>17963.16</v>
      </c>
      <c r="S19" s="48">
        <v>19294.49</v>
      </c>
      <c r="T19" s="48">
        <v>20609.68</v>
      </c>
      <c r="U19" s="48">
        <v>22288.53</v>
      </c>
      <c r="V19" s="48">
        <v>24250.11</v>
      </c>
      <c r="W19" s="48">
        <v>26492.18</v>
      </c>
      <c r="X19" s="48">
        <v>28759.88</v>
      </c>
      <c r="Y19" s="48">
        <v>31037.36</v>
      </c>
      <c r="Z19" s="55">
        <f t="shared" ref="Z19:AC19" si="17">B19+F19+J19+N19+R19+V19</f>
        <v>166518.11</v>
      </c>
      <c r="AA19" s="55">
        <f t="shared" si="17"/>
        <v>182768.02</v>
      </c>
      <c r="AB19" s="55">
        <f t="shared" si="17"/>
        <v>194631.67</v>
      </c>
      <c r="AC19" s="55">
        <f t="shared" si="17"/>
        <v>210792.9</v>
      </c>
      <c r="AD19" s="56"/>
    </row>
    <row r="20">
      <c r="A20" s="60" t="s">
        <v>27</v>
      </c>
      <c r="B20" s="55">
        <f t="shared" ref="B20:O20" si="18">SUM(B3:B19)</f>
        <v>112901.34</v>
      </c>
      <c r="C20" s="55">
        <f t="shared" si="18"/>
        <v>118625.55</v>
      </c>
      <c r="D20" s="55">
        <f t="shared" si="18"/>
        <v>124590.44</v>
      </c>
      <c r="E20" s="55">
        <f t="shared" si="18"/>
        <v>131435.93</v>
      </c>
      <c r="F20" s="55">
        <f t="shared" si="18"/>
        <v>484131.21</v>
      </c>
      <c r="G20" s="55">
        <f t="shared" si="18"/>
        <v>507425.74</v>
      </c>
      <c r="H20" s="55">
        <f t="shared" si="18"/>
        <v>531735.24</v>
      </c>
      <c r="I20" s="55">
        <f t="shared" si="18"/>
        <v>560270.88</v>
      </c>
      <c r="J20" s="61">
        <f t="shared" si="18"/>
        <v>1953488.99</v>
      </c>
      <c r="K20" s="61">
        <f t="shared" si="18"/>
        <v>2050472.97</v>
      </c>
      <c r="L20" s="61">
        <f t="shared" si="18"/>
        <v>2151041.32</v>
      </c>
      <c r="M20" s="61">
        <f t="shared" si="18"/>
        <v>2263237.03</v>
      </c>
      <c r="N20" s="55">
        <f t="shared" si="18"/>
        <v>1589984.9</v>
      </c>
      <c r="O20" s="55">
        <f t="shared" si="18"/>
        <v>1669416.87</v>
      </c>
      <c r="P20" s="53">
        <v>1752124.2</v>
      </c>
      <c r="Q20" s="55">
        <f t="shared" ref="Q20:AC20" si="19">SUM(Q3:Q19)</f>
        <v>1845316.73</v>
      </c>
      <c r="R20" s="55">
        <f t="shared" si="19"/>
        <v>1050278.08</v>
      </c>
      <c r="S20" s="55">
        <f t="shared" si="19"/>
        <v>1102437.48</v>
      </c>
      <c r="T20" s="55">
        <f t="shared" si="19"/>
        <v>1156998.87</v>
      </c>
      <c r="U20" s="55">
        <f t="shared" si="19"/>
        <v>1219148.6</v>
      </c>
      <c r="V20" s="55">
        <f t="shared" si="19"/>
        <v>1673174.89</v>
      </c>
      <c r="W20" s="55">
        <f t="shared" si="19"/>
        <v>1844808.7</v>
      </c>
      <c r="X20" s="55">
        <f t="shared" si="19"/>
        <v>1935810.15</v>
      </c>
      <c r="Y20" s="55">
        <f t="shared" si="19"/>
        <v>2038961.65</v>
      </c>
      <c r="Z20" s="55">
        <f t="shared" si="19"/>
        <v>6863959.41</v>
      </c>
      <c r="AA20" s="55">
        <f t="shared" si="19"/>
        <v>7293187.31</v>
      </c>
      <c r="AB20" s="55">
        <f t="shared" si="19"/>
        <v>7652300.22</v>
      </c>
      <c r="AC20" s="55">
        <f t="shared" si="19"/>
        <v>8058370.82</v>
      </c>
      <c r="AD20" s="56"/>
    </row>
    <row r="21">
      <c r="A21" s="64"/>
      <c r="B21" s="6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108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</row>
    <row r="22">
      <c r="A22" s="64"/>
      <c r="B22" s="65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</row>
    <row r="23">
      <c r="A23" s="64"/>
      <c r="B23" s="65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67"/>
      <c r="W23" s="56"/>
      <c r="X23" s="56"/>
      <c r="Y23" s="56"/>
      <c r="Z23" s="56"/>
      <c r="AA23" s="56"/>
      <c r="AB23" s="56"/>
      <c r="AC23" s="56"/>
      <c r="AD23" s="56"/>
    </row>
    <row r="24">
      <c r="A24" s="40" t="s">
        <v>0</v>
      </c>
      <c r="B24" s="109" t="s">
        <v>1</v>
      </c>
      <c r="C24" s="3"/>
      <c r="D24" s="3"/>
      <c r="E24" s="4"/>
      <c r="F24" s="110" t="s">
        <v>7</v>
      </c>
      <c r="G24" s="3"/>
      <c r="H24" s="3"/>
      <c r="I24" s="4"/>
      <c r="J24" s="110" t="s">
        <v>40</v>
      </c>
      <c r="K24" s="3"/>
      <c r="L24" s="3"/>
      <c r="M24" s="4"/>
      <c r="N24" s="109" t="s">
        <v>35</v>
      </c>
      <c r="O24" s="3"/>
      <c r="P24" s="3"/>
      <c r="Q24" s="4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</row>
    <row r="25">
      <c r="A25" s="7"/>
      <c r="B25" s="111">
        <v>2022.0</v>
      </c>
      <c r="C25" s="111">
        <v>2023.0</v>
      </c>
      <c r="D25" s="111">
        <v>2024.0</v>
      </c>
      <c r="E25" s="111">
        <v>2025.0</v>
      </c>
      <c r="F25" s="111">
        <v>2022.0</v>
      </c>
      <c r="G25" s="111">
        <v>2023.0</v>
      </c>
      <c r="H25" s="111">
        <v>2024.0</v>
      </c>
      <c r="I25" s="111">
        <v>2025.0</v>
      </c>
      <c r="J25" s="111">
        <v>2022.0</v>
      </c>
      <c r="K25" s="111">
        <v>2023.0</v>
      </c>
      <c r="L25" s="111">
        <v>2024.0</v>
      </c>
      <c r="M25" s="111">
        <v>2025.0</v>
      </c>
      <c r="N25" s="111">
        <v>2022.0</v>
      </c>
      <c r="O25" s="111">
        <v>2023.0</v>
      </c>
      <c r="P25" s="111">
        <v>2024.0</v>
      </c>
      <c r="Q25" s="111">
        <v>2025.0</v>
      </c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>
      <c r="A26" s="47" t="s">
        <v>10</v>
      </c>
      <c r="B26" s="48"/>
      <c r="C26" s="112">
        <f t="shared" ref="C26:E26" si="20">(C3-B3)/B3</f>
        <v>0.01280709601</v>
      </c>
      <c r="D26" s="112">
        <f t="shared" si="20"/>
        <v>0.001354138116</v>
      </c>
      <c r="E26" s="112">
        <f t="shared" si="20"/>
        <v>0.06357906216</v>
      </c>
      <c r="F26" s="55"/>
      <c r="G26" s="113">
        <f t="shared" ref="G26:I26" si="21">(AA3-Z3)/Z3</f>
        <v>0.01036702043</v>
      </c>
      <c r="H26" s="113">
        <f t="shared" si="21"/>
        <v>0.008765270253</v>
      </c>
      <c r="I26" s="113">
        <f t="shared" si="21"/>
        <v>0.06473753541</v>
      </c>
      <c r="J26" s="55"/>
      <c r="K26" s="55">
        <f t="shared" ref="K26:M26" si="22">C26/G26</f>
        <v>1.235369033</v>
      </c>
      <c r="L26" s="55">
        <f t="shared" si="22"/>
        <v>0.1544890319</v>
      </c>
      <c r="M26" s="55">
        <f t="shared" si="22"/>
        <v>0.9821050765</v>
      </c>
      <c r="N26" s="76"/>
      <c r="O26" s="76">
        <f>'LQ ADHK'!L26</f>
        <v>1.169820772</v>
      </c>
      <c r="P26" s="76">
        <f>'LQ ADHK'!M26</f>
        <v>1.219968324</v>
      </c>
      <c r="Q26" s="76">
        <f>'LQ ADHK'!N26</f>
        <v>1.216470648</v>
      </c>
      <c r="R26" s="56" t="str">
        <f>IF(AND($M26&gt;1,$Q26&gt;1),"Maju Pesat",
IF(AND($M26&gt;1,$Q26&lt;1),"Potensial",
IF(AND($M26&lt;1,$Q26&gt;1),"Maju Tertekan",IF(AND($M26&lt;1,$Q26&lt;1),"Tertinggal"))))</f>
        <v>Maju Tertekan</v>
      </c>
      <c r="S26" s="114" t="str">
        <f t="shared" ref="S26:S42" si="26">IF(R26="Maju Pesat","Kuadran I",
IF(R26="Potensial","Kuadran III",
IF(R26="Maju Tertekan","Kuadran II",
"Kuadran IV")))</f>
        <v>Kuadran II</v>
      </c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</row>
    <row r="27">
      <c r="A27" s="58" t="s">
        <v>11</v>
      </c>
      <c r="B27" s="48"/>
      <c r="C27" s="112">
        <f t="shared" ref="C27:E27" si="23">(C4-B4)/B4</f>
        <v>0.03253298206</v>
      </c>
      <c r="D27" s="112">
        <f t="shared" si="23"/>
        <v>0.07745539598</v>
      </c>
      <c r="E27" s="112">
        <f t="shared" si="23"/>
        <v>0.06202009329</v>
      </c>
      <c r="F27" s="55"/>
      <c r="G27" s="113">
        <f t="shared" ref="G27:I27" si="24">(AA4-Z4)/Z4</f>
        <v>0.006609878652</v>
      </c>
      <c r="H27" s="113">
        <f t="shared" si="24"/>
        <v>-0.0007335868506</v>
      </c>
      <c r="I27" s="113">
        <f t="shared" si="24"/>
        <v>0.01100877922</v>
      </c>
      <c r="J27" s="55"/>
      <c r="K27" s="55">
        <f t="shared" ref="K27:M27" si="25">C27/G27</f>
        <v>4.921872817</v>
      </c>
      <c r="L27" s="55">
        <f t="shared" si="25"/>
        <v>-105.5844934</v>
      </c>
      <c r="M27" s="55">
        <f t="shared" si="25"/>
        <v>5.633693985</v>
      </c>
      <c r="N27" s="76"/>
      <c r="O27" s="76">
        <f>'LQ ADHK'!L27</f>
        <v>0.24576723</v>
      </c>
      <c r="P27" s="76">
        <f>'LQ ADHK'!M27</f>
        <v>0.2794419541</v>
      </c>
      <c r="Q27" s="76">
        <f>'LQ ADHK'!N27</f>
        <v>0.2930186624</v>
      </c>
      <c r="R27" s="56" t="str">
        <f t="shared" ref="R27:R42" si="30">IF(AND($E27&gt;I$43,$Q27&gt;1),"Maju Pesat",
IF(AND($E27&gt;I$43,$Q27&lt;1),"Potensial",
IF(AND($E27&lt;I$43,$Q27&gt;1),"Maju Tertekan",IF(AND($E27&lt;I$43,$Q27&lt;1),"Tertinggal"))))</f>
        <v>Potensial</v>
      </c>
      <c r="S27" s="114" t="str">
        <f t="shared" si="26"/>
        <v>Kuadran III</v>
      </c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</row>
    <row r="28">
      <c r="A28" s="58" t="s">
        <v>12</v>
      </c>
      <c r="B28" s="48"/>
      <c r="C28" s="112">
        <f t="shared" ref="C28:E28" si="27">(C5-B5)/B5</f>
        <v>0.04273416087</v>
      </c>
      <c r="D28" s="112">
        <f t="shared" si="27"/>
        <v>0.03787073375</v>
      </c>
      <c r="E28" s="112">
        <f t="shared" si="27"/>
        <v>0.04369302982</v>
      </c>
      <c r="F28" s="55"/>
      <c r="G28" s="113">
        <f t="shared" ref="G28:I28" si="28">(AA5-Z5)/Z5</f>
        <v>0.04242465298</v>
      </c>
      <c r="H28" s="113">
        <f t="shared" si="28"/>
        <v>0.03886381798</v>
      </c>
      <c r="I28" s="113">
        <f t="shared" si="28"/>
        <v>0.04012828188</v>
      </c>
      <c r="J28" s="55"/>
      <c r="K28" s="55">
        <f t="shared" ref="K28:M28" si="29">C28/G28</f>
        <v>1.007295473</v>
      </c>
      <c r="L28" s="55">
        <f t="shared" si="29"/>
        <v>0.974447075</v>
      </c>
      <c r="M28" s="55">
        <f t="shared" si="29"/>
        <v>1.088833804</v>
      </c>
      <c r="N28" s="76"/>
      <c r="O28" s="76">
        <f>'LQ ADHK'!L28</f>
        <v>0.3951480434</v>
      </c>
      <c r="P28" s="76">
        <f>'LQ ADHK'!M28</f>
        <v>0.4019857149</v>
      </c>
      <c r="Q28" s="76">
        <f>'LQ ADHK'!N28</f>
        <v>0.4026450489</v>
      </c>
      <c r="R28" s="56" t="str">
        <f t="shared" si="30"/>
        <v>Tertinggal</v>
      </c>
      <c r="S28" s="114" t="str">
        <f t="shared" si="26"/>
        <v>Kuadran IV</v>
      </c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</row>
    <row r="29">
      <c r="A29" s="58" t="s">
        <v>13</v>
      </c>
      <c r="B29" s="48"/>
      <c r="C29" s="112">
        <f t="shared" ref="C29:E29" si="31">(C6-B6)/B6</f>
        <v>0.07316799461</v>
      </c>
      <c r="D29" s="112">
        <f t="shared" si="31"/>
        <v>0.1067133745</v>
      </c>
      <c r="E29" s="112">
        <f t="shared" si="31"/>
        <v>0.04558983323</v>
      </c>
      <c r="F29" s="55"/>
      <c r="G29" s="113">
        <f t="shared" ref="G29:I29" si="32">(AA6-Z6)/Z6</f>
        <v>0.04507547245</v>
      </c>
      <c r="H29" s="113">
        <f t="shared" si="32"/>
        <v>-0.02483961883</v>
      </c>
      <c r="I29" s="113">
        <f t="shared" si="32"/>
        <v>0.008750101237</v>
      </c>
      <c r="J29" s="55"/>
      <c r="K29" s="55">
        <f t="shared" ref="K29:M29" si="33">C29/G29</f>
        <v>1.623233006</v>
      </c>
      <c r="L29" s="55">
        <f t="shared" si="33"/>
        <v>-4.296095491</v>
      </c>
      <c r="M29" s="55">
        <f t="shared" si="33"/>
        <v>5.210206373</v>
      </c>
      <c r="N29" s="76"/>
      <c r="O29" s="76">
        <f>'LQ ADHK'!L29</f>
        <v>0.5219570599</v>
      </c>
      <c r="P29" s="76">
        <f>'LQ ADHK'!M29</f>
        <v>0.6016681802</v>
      </c>
      <c r="Q29" s="76">
        <f>'LQ ADHK'!N29</f>
        <v>0.6225305512</v>
      </c>
      <c r="R29" s="56" t="str">
        <f t="shared" si="30"/>
        <v>Tertinggal</v>
      </c>
      <c r="S29" s="114" t="str">
        <f t="shared" si="26"/>
        <v>Kuadran IV</v>
      </c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</row>
    <row r="30">
      <c r="A30" s="47" t="s">
        <v>14</v>
      </c>
      <c r="B30" s="48"/>
      <c r="C30" s="112">
        <f t="shared" ref="C30:E30" si="34">(C7-B7)/B7</f>
        <v>0.03428122819</v>
      </c>
      <c r="D30" s="112">
        <f t="shared" si="34"/>
        <v>0.00885552838</v>
      </c>
      <c r="E30" s="112">
        <f t="shared" si="34"/>
        <v>-0.005517471995</v>
      </c>
      <c r="F30" s="55"/>
      <c r="G30" s="113">
        <f t="shared" ref="G30:I30" si="35">(AA7-Z7)/Z7</f>
        <v>0.03732766979</v>
      </c>
      <c r="H30" s="113">
        <f t="shared" si="35"/>
        <v>0.02978171117</v>
      </c>
      <c r="I30" s="113">
        <f t="shared" si="35"/>
        <v>0.01971940562</v>
      </c>
      <c r="J30" s="55"/>
      <c r="K30" s="55">
        <f t="shared" ref="K30:M30" si="36">C30/G30</f>
        <v>0.9183865048</v>
      </c>
      <c r="L30" s="55">
        <f t="shared" si="36"/>
        <v>0.29734787</v>
      </c>
      <c r="M30" s="55">
        <f t="shared" si="36"/>
        <v>-0.2797991026</v>
      </c>
      <c r="N30" s="76"/>
      <c r="O30" s="76">
        <f>'LQ ADHK'!L30</f>
        <v>1.267047445</v>
      </c>
      <c r="P30" s="76">
        <f>'LQ ADHK'!M30</f>
        <v>1.270198313</v>
      </c>
      <c r="Q30" s="76">
        <f>'LQ ADHK'!N30</f>
        <v>1.236556231</v>
      </c>
      <c r="R30" s="56" t="str">
        <f t="shared" si="30"/>
        <v>Maju Tertekan</v>
      </c>
      <c r="S30" s="114" t="str">
        <f t="shared" si="26"/>
        <v>Kuadran II</v>
      </c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</row>
    <row r="31">
      <c r="A31" s="58" t="s">
        <v>15</v>
      </c>
      <c r="B31" s="48"/>
      <c r="C31" s="112">
        <f t="shared" ref="C31:E31" si="37">(C8-B8)/B8</f>
        <v>0.04812576719</v>
      </c>
      <c r="D31" s="112">
        <f t="shared" si="37"/>
        <v>0.08361525289</v>
      </c>
      <c r="E31" s="112">
        <f t="shared" si="37"/>
        <v>0.07901251077</v>
      </c>
      <c r="F31" s="55"/>
      <c r="G31" s="113">
        <f t="shared" ref="G31:I31" si="38">(AA8-Z8)/Z8</f>
        <v>0.04277739487</v>
      </c>
      <c r="H31" s="113">
        <f t="shared" si="38"/>
        <v>0.0709173431</v>
      </c>
      <c r="I31" s="113">
        <f t="shared" si="38"/>
        <v>0.04778613411</v>
      </c>
      <c r="J31" s="55"/>
      <c r="K31" s="55">
        <f t="shared" ref="K31:M31" si="39">C31/G31</f>
        <v>1.125028005</v>
      </c>
      <c r="L31" s="55">
        <f t="shared" si="39"/>
        <v>1.179052249</v>
      </c>
      <c r="M31" s="55">
        <f t="shared" si="39"/>
        <v>1.653461035</v>
      </c>
      <c r="N31" s="76"/>
      <c r="O31" s="76">
        <f>'LQ ADHK'!L31</f>
        <v>1.011366793</v>
      </c>
      <c r="P31" s="76">
        <f>'LQ ADHK'!M31</f>
        <v>1.041710526</v>
      </c>
      <c r="Q31" s="76">
        <f>'LQ ADHK'!N31</f>
        <v>1.07084534</v>
      </c>
      <c r="R31" s="56" t="str">
        <f t="shared" si="30"/>
        <v>Maju Pesat</v>
      </c>
      <c r="S31" s="114" t="str">
        <f t="shared" si="26"/>
        <v>Kuadran I</v>
      </c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</row>
    <row r="32">
      <c r="A32" s="58" t="s">
        <v>16</v>
      </c>
      <c r="B32" s="48"/>
      <c r="C32" s="112">
        <f t="shared" ref="C32:E32" si="40">(C9-B9)/B9</f>
        <v>0.04325189955</v>
      </c>
      <c r="D32" s="112">
        <f t="shared" si="40"/>
        <v>0.03957761748</v>
      </c>
      <c r="E32" s="112">
        <f t="shared" si="40"/>
        <v>0.05274848298</v>
      </c>
      <c r="F32" s="55"/>
      <c r="G32" s="113">
        <f t="shared" ref="G32:I32" si="41">(AA9-Z9)/Z9</f>
        <v>0.0488558748</v>
      </c>
      <c r="H32" s="113">
        <f t="shared" si="41"/>
        <v>0.05185662566</v>
      </c>
      <c r="I32" s="113">
        <f t="shared" si="41"/>
        <v>0.04761957969</v>
      </c>
      <c r="J32" s="55"/>
      <c r="K32" s="55">
        <f t="shared" ref="K32:M32" si="42">C32/G32</f>
        <v>0.8852957751</v>
      </c>
      <c r="L32" s="55">
        <f t="shared" si="42"/>
        <v>0.7632123567</v>
      </c>
      <c r="M32" s="55">
        <f t="shared" si="42"/>
        <v>1.107705766</v>
      </c>
      <c r="N32" s="76"/>
      <c r="O32" s="76">
        <f>'LQ ADHK'!L32</f>
        <v>0.4825125095</v>
      </c>
      <c r="P32" s="76">
        <f>'LQ ADHK'!M32</f>
        <v>0.4826184813</v>
      </c>
      <c r="Q32" s="76">
        <f>'LQ ADHK'!N32</f>
        <v>0.4841175553</v>
      </c>
      <c r="R32" s="56" t="str">
        <f t="shared" si="30"/>
        <v>Tertinggal</v>
      </c>
      <c r="S32" s="114" t="str">
        <f t="shared" si="26"/>
        <v>Kuadran IV</v>
      </c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</row>
    <row r="33">
      <c r="A33" s="58" t="s">
        <v>17</v>
      </c>
      <c r="B33" s="48"/>
      <c r="C33" s="112">
        <f t="shared" ref="C33:E33" si="43">(C10-B10)/B10</f>
        <v>0.10119257</v>
      </c>
      <c r="D33" s="112">
        <f t="shared" si="43"/>
        <v>0.06240103592</v>
      </c>
      <c r="E33" s="112">
        <f t="shared" si="43"/>
        <v>0.05563539314</v>
      </c>
      <c r="F33" s="55"/>
      <c r="G33" s="113">
        <f t="shared" ref="G33:I33" si="44">(AA10-Z10)/Z10</f>
        <v>0.1192814521</v>
      </c>
      <c r="H33" s="113">
        <f t="shared" si="44"/>
        <v>0.08618233401</v>
      </c>
      <c r="I33" s="113">
        <f t="shared" si="44"/>
        <v>0.08427873925</v>
      </c>
      <c r="J33" s="55"/>
      <c r="K33" s="55">
        <f t="shared" ref="K33:M33" si="45">C33/G33</f>
        <v>0.8483512584</v>
      </c>
      <c r="L33" s="55">
        <f t="shared" si="45"/>
        <v>0.7240583194</v>
      </c>
      <c r="M33" s="55">
        <f t="shared" si="45"/>
        <v>0.6601355649</v>
      </c>
      <c r="N33" s="76"/>
      <c r="O33" s="76">
        <f>'LQ ADHK'!L33</f>
        <v>1.210578405</v>
      </c>
      <c r="P33" s="76">
        <f>'LQ ADHK'!M33</f>
        <v>1.122923522</v>
      </c>
      <c r="Q33" s="76">
        <f>'LQ ADHK'!N33</f>
        <v>1.091312287</v>
      </c>
      <c r="R33" s="56" t="str">
        <f t="shared" si="30"/>
        <v>Maju Pesat</v>
      </c>
      <c r="S33" s="114" t="str">
        <f t="shared" si="26"/>
        <v>Kuadran I</v>
      </c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</row>
    <row r="34">
      <c r="A34" s="58" t="s">
        <v>18</v>
      </c>
      <c r="B34" s="48"/>
      <c r="C34" s="112">
        <f t="shared" ref="C34:E34" si="46">(C11-B11)/B11</f>
        <v>0.0890513567</v>
      </c>
      <c r="D34" s="112">
        <f t="shared" si="46"/>
        <v>0.08569950579</v>
      </c>
      <c r="E34" s="112">
        <f t="shared" si="46"/>
        <v>0.06335658502</v>
      </c>
      <c r="F34" s="55"/>
      <c r="G34" s="113">
        <f t="shared" ref="G34:I34" si="47">(AA11-Z11)/Z11</f>
        <v>0.5439845946</v>
      </c>
      <c r="H34" s="113">
        <f t="shared" si="47"/>
        <v>0.07790626468</v>
      </c>
      <c r="I34" s="113">
        <f t="shared" si="47"/>
        <v>0.09022703061</v>
      </c>
      <c r="J34" s="55"/>
      <c r="K34" s="55">
        <f t="shared" ref="K34:M34" si="48">C34/G34</f>
        <v>0.1637019827</v>
      </c>
      <c r="L34" s="55">
        <f t="shared" si="48"/>
        <v>1.100033561</v>
      </c>
      <c r="M34" s="55">
        <f t="shared" si="48"/>
        <v>0.7021907359</v>
      </c>
      <c r="N34" s="76"/>
      <c r="O34" s="76">
        <f>'LQ ADHK'!L34</f>
        <v>3.165824158</v>
      </c>
      <c r="P34" s="76">
        <f>'LQ ADHK'!M34</f>
        <v>2.192215697</v>
      </c>
      <c r="Q34" s="76">
        <f>'LQ ADHK'!N34</f>
        <v>2.134376978</v>
      </c>
      <c r="R34" s="56" t="str">
        <f t="shared" si="30"/>
        <v>Maju Pesat</v>
      </c>
      <c r="S34" s="114" t="str">
        <f t="shared" si="26"/>
        <v>Kuadran I</v>
      </c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</row>
    <row r="35">
      <c r="A35" s="58" t="s">
        <v>19</v>
      </c>
      <c r="B35" s="48"/>
      <c r="C35" s="112">
        <f t="shared" ref="C35:E35" si="49">(C12-B12)/B12</f>
        <v>0.04281618866</v>
      </c>
      <c r="D35" s="112">
        <f t="shared" si="49"/>
        <v>0.04341370177</v>
      </c>
      <c r="E35" s="112">
        <f t="shared" si="49"/>
        <v>0.0433951885</v>
      </c>
      <c r="F35" s="55"/>
      <c r="G35" s="113">
        <f t="shared" ref="G35:I35" si="50">(AA12-Z12)/Z12</f>
        <v>0.07621285571</v>
      </c>
      <c r="H35" s="113">
        <f t="shared" si="50"/>
        <v>0.06256325668</v>
      </c>
      <c r="I35" s="113">
        <f t="shared" si="50"/>
        <v>0.07179172349</v>
      </c>
      <c r="J35" s="55"/>
      <c r="K35" s="55">
        <f t="shared" ref="K35:M35" si="51">C35/G35</f>
        <v>0.5617974587</v>
      </c>
      <c r="L35" s="55">
        <f t="shared" si="51"/>
        <v>0.6939169103</v>
      </c>
      <c r="M35" s="55">
        <f t="shared" si="51"/>
        <v>0.604459489</v>
      </c>
      <c r="N35" s="76"/>
      <c r="O35" s="76">
        <f>'LQ ADHK'!L35</f>
        <v>1.721054907</v>
      </c>
      <c r="P35" s="76">
        <f>'LQ ADHK'!M35</f>
        <v>1.666898305</v>
      </c>
      <c r="Q35" s="76">
        <f>'LQ ADHK'!N35</f>
        <v>1.619844781</v>
      </c>
      <c r="R35" s="56" t="str">
        <f t="shared" si="30"/>
        <v>Maju Tertekan</v>
      </c>
      <c r="S35" s="114" t="str">
        <f t="shared" si="26"/>
        <v>Kuadran II</v>
      </c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</row>
    <row r="36">
      <c r="A36" s="58" t="s">
        <v>20</v>
      </c>
      <c r="B36" s="48"/>
      <c r="C36" s="112">
        <f t="shared" ref="C36:E36" si="52">(C13-B13)/B13</f>
        <v>0.1028981793</v>
      </c>
      <c r="D36" s="112">
        <f t="shared" si="52"/>
        <v>0.06523548988</v>
      </c>
      <c r="E36" s="112">
        <f t="shared" si="52"/>
        <v>0.01555685931</v>
      </c>
      <c r="F36" s="55"/>
      <c r="G36" s="113">
        <f t="shared" ref="G36:I36" si="53">(AA13-Z13)/Z13</f>
        <v>0.04523981832</v>
      </c>
      <c r="H36" s="113">
        <f t="shared" si="53"/>
        <v>0.04586719289</v>
      </c>
      <c r="I36" s="113">
        <f t="shared" si="53"/>
        <v>0.03456049566</v>
      </c>
      <c r="J36" s="55"/>
      <c r="K36" s="55">
        <f t="shared" ref="K36:M36" si="54">C36/G36</f>
        <v>2.274504697</v>
      </c>
      <c r="L36" s="55">
        <f t="shared" si="54"/>
        <v>1.422269072</v>
      </c>
      <c r="M36" s="55">
        <f t="shared" si="54"/>
        <v>0.4501341493</v>
      </c>
      <c r="N36" s="76"/>
      <c r="O36" s="76">
        <f>'LQ ADHK'!L36</f>
        <v>0.7565895473</v>
      </c>
      <c r="P36" s="76">
        <f>'LQ ADHK'!M36</f>
        <v>0.7825719752</v>
      </c>
      <c r="Q36" s="76">
        <f>'LQ ADHK'!N36</f>
        <v>0.7668289659</v>
      </c>
      <c r="R36" s="56" t="str">
        <f t="shared" si="30"/>
        <v>Tertinggal</v>
      </c>
      <c r="S36" s="114" t="str">
        <f t="shared" si="26"/>
        <v>Kuadran IV</v>
      </c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</row>
    <row r="37">
      <c r="A37" s="58" t="s">
        <v>21</v>
      </c>
      <c r="B37" s="48"/>
      <c r="C37" s="112">
        <f t="shared" ref="C37:E37" si="55">(C14-B14)/B14</f>
        <v>0.03698047857</v>
      </c>
      <c r="D37" s="112">
        <f t="shared" si="55"/>
        <v>0.04074413312</v>
      </c>
      <c r="E37" s="112">
        <f t="shared" si="55"/>
        <v>0.04050510025</v>
      </c>
      <c r="F37" s="55"/>
      <c r="G37" s="113">
        <f t="shared" ref="G37:I37" si="56">(AA14-Z14)/Z14</f>
        <v>0.02574516555</v>
      </c>
      <c r="H37" s="113">
        <f t="shared" si="56"/>
        <v>0.02997062429</v>
      </c>
      <c r="I37" s="113">
        <f t="shared" si="56"/>
        <v>0.0424145825</v>
      </c>
      <c r="J37" s="55"/>
      <c r="K37" s="55">
        <f t="shared" ref="K37:M37" si="57">C37/G37</f>
        <v>1.436404769</v>
      </c>
      <c r="L37" s="55">
        <f t="shared" si="57"/>
        <v>1.35946895</v>
      </c>
      <c r="M37" s="55">
        <f t="shared" si="57"/>
        <v>0.9549805247</v>
      </c>
      <c r="N37" s="76"/>
      <c r="O37" s="76">
        <f>'LQ ADHK'!L37</f>
        <v>1.88719297</v>
      </c>
      <c r="P37" s="76">
        <f>'LQ ADHK'!M37</f>
        <v>1.973362074</v>
      </c>
      <c r="Q37" s="76">
        <f>'LQ ADHK'!N37</f>
        <v>1.966239324</v>
      </c>
      <c r="R37" s="56" t="str">
        <f t="shared" si="30"/>
        <v>Maju Tertekan</v>
      </c>
      <c r="S37" s="114" t="str">
        <f t="shared" si="26"/>
        <v>Kuadran II</v>
      </c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</row>
    <row r="38">
      <c r="A38" s="58" t="s">
        <v>22</v>
      </c>
      <c r="B38" s="48"/>
      <c r="C38" s="112">
        <f t="shared" ref="C38:E38" si="58">(C15-B15)/B15</f>
        <v>0.08113012138</v>
      </c>
      <c r="D38" s="112">
        <f t="shared" si="58"/>
        <v>0.05743867205</v>
      </c>
      <c r="E38" s="112">
        <f t="shared" si="58"/>
        <v>0.04452029975</v>
      </c>
      <c r="F38" s="55"/>
      <c r="G38" s="113">
        <f t="shared" ref="G38:I38" si="59">(AA15-Z15)/Z15</f>
        <v>0.06683500009</v>
      </c>
      <c r="H38" s="113">
        <f t="shared" si="59"/>
        <v>0.05002256628</v>
      </c>
      <c r="I38" s="113">
        <f t="shared" si="59"/>
        <v>0.07780397691</v>
      </c>
      <c r="J38" s="55"/>
      <c r="K38" s="55">
        <f t="shared" ref="K38:M38" si="60">C38/G38</f>
        <v>1.213886755</v>
      </c>
      <c r="L38" s="55">
        <f t="shared" si="60"/>
        <v>1.148255204</v>
      </c>
      <c r="M38" s="55">
        <f t="shared" si="60"/>
        <v>0.5722111069</v>
      </c>
      <c r="N38" s="76"/>
      <c r="O38" s="76">
        <f>'LQ ADHK'!L38</f>
        <v>0.3962277121</v>
      </c>
      <c r="P38" s="76">
        <f>'LQ ADHK'!M38</f>
        <v>0.3970223548</v>
      </c>
      <c r="Q38" s="76">
        <f>'LQ ADHK'!N38</f>
        <v>0.3840766713</v>
      </c>
      <c r="R38" s="56" t="str">
        <f t="shared" si="30"/>
        <v>Tertinggal</v>
      </c>
      <c r="S38" s="114" t="str">
        <f t="shared" si="26"/>
        <v>Kuadran IV</v>
      </c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</row>
    <row r="39">
      <c r="A39" s="47" t="s">
        <v>23</v>
      </c>
      <c r="B39" s="48"/>
      <c r="C39" s="112">
        <f t="shared" ref="C39:E39" si="61">(C16-B16)/B16</f>
        <v>0.02496512059</v>
      </c>
      <c r="D39" s="112">
        <f t="shared" si="61"/>
        <v>0.06466582427</v>
      </c>
      <c r="E39" s="112">
        <f t="shared" si="61"/>
        <v>0.06240779333</v>
      </c>
      <c r="F39" s="55"/>
      <c r="G39" s="113">
        <f t="shared" ref="G39:I39" si="62">(AA16-Z16)/Z16</f>
        <v>0.01218845088</v>
      </c>
      <c r="H39" s="113">
        <f t="shared" si="62"/>
        <v>0.0572159503</v>
      </c>
      <c r="I39" s="113">
        <f t="shared" si="62"/>
        <v>0.03995590978</v>
      </c>
      <c r="J39" s="55"/>
      <c r="K39" s="55">
        <f t="shared" ref="K39:M39" si="63">C39/G39</f>
        <v>2.048260344</v>
      </c>
      <c r="L39" s="55">
        <f t="shared" si="63"/>
        <v>1.130206244</v>
      </c>
      <c r="M39" s="55">
        <f t="shared" si="63"/>
        <v>1.561916464</v>
      </c>
      <c r="N39" s="76"/>
      <c r="O39" s="76">
        <f>'LQ ADHK'!L39</f>
        <v>2.659417702</v>
      </c>
      <c r="P39" s="76">
        <f>'LQ ADHK'!M39</f>
        <v>2.808572229</v>
      </c>
      <c r="Q39" s="76">
        <f>'LQ ADHK'!N39</f>
        <v>2.8640974</v>
      </c>
      <c r="R39" s="56" t="str">
        <f t="shared" si="30"/>
        <v>Maju Pesat</v>
      </c>
      <c r="S39" s="114" t="str">
        <f t="shared" si="26"/>
        <v>Kuadran I</v>
      </c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</row>
    <row r="40">
      <c r="A40" s="58" t="s">
        <v>24</v>
      </c>
      <c r="B40" s="48"/>
      <c r="C40" s="112">
        <f t="shared" ref="C40:E40" si="64">(C17-B17)/B17</f>
        <v>0.04709882788</v>
      </c>
      <c r="D40" s="112">
        <f t="shared" si="64"/>
        <v>0.04076478872</v>
      </c>
      <c r="E40" s="112">
        <f t="shared" si="64"/>
        <v>0.0577309578</v>
      </c>
      <c r="F40" s="55"/>
      <c r="G40" s="113">
        <f t="shared" ref="G40:I40" si="65">(AA17-Z17)/Z17</f>
        <v>0.03801716372</v>
      </c>
      <c r="H40" s="113">
        <f t="shared" si="65"/>
        <v>0.054284764</v>
      </c>
      <c r="I40" s="113">
        <f t="shared" si="65"/>
        <v>0.06584941952</v>
      </c>
      <c r="J40" s="55"/>
      <c r="K40" s="55">
        <f t="shared" ref="K40:M40" si="66">C40/G40</f>
        <v>1.238883264</v>
      </c>
      <c r="L40" s="55">
        <f t="shared" si="66"/>
        <v>0.7509434641</v>
      </c>
      <c r="M40" s="55">
        <f t="shared" si="66"/>
        <v>0.8767117192</v>
      </c>
      <c r="N40" s="76"/>
      <c r="O40" s="76">
        <f>'LQ ADHK'!L40</f>
        <v>2.51270838</v>
      </c>
      <c r="P40" s="76">
        <f>'LQ ADHK'!M40</f>
        <v>2.53654766</v>
      </c>
      <c r="Q40" s="76">
        <f>'LQ ADHK'!N40</f>
        <v>2.512744058</v>
      </c>
      <c r="R40" s="56" t="str">
        <f t="shared" si="30"/>
        <v>Maju Pesat</v>
      </c>
      <c r="S40" s="114" t="str">
        <f t="shared" si="26"/>
        <v>Kuadran I</v>
      </c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</row>
    <row r="41">
      <c r="A41" s="58" t="s">
        <v>25</v>
      </c>
      <c r="B41" s="48"/>
      <c r="C41" s="115">
        <f t="shared" ref="C41:E41" si="67">(C18-B18)/B18</f>
        <v>0.06318059661</v>
      </c>
      <c r="D41" s="115">
        <f t="shared" si="67"/>
        <v>0.05348237137</v>
      </c>
      <c r="E41" s="115">
        <f t="shared" si="67"/>
        <v>0.07233967196</v>
      </c>
      <c r="F41" s="116"/>
      <c r="G41" s="117">
        <f t="shared" ref="G41:I41" si="68">(AA18-Z18)/Z18</f>
        <v>0.05688609589</v>
      </c>
      <c r="H41" s="117">
        <f t="shared" si="68"/>
        <v>0.05987310145</v>
      </c>
      <c r="I41" s="117">
        <f t="shared" si="68"/>
        <v>0.05923064623</v>
      </c>
      <c r="J41" s="116"/>
      <c r="K41" s="55">
        <f t="shared" ref="K41:M41" si="69">C41/G41</f>
        <v>1.110650953</v>
      </c>
      <c r="L41" s="55">
        <f t="shared" si="69"/>
        <v>0.8932620838</v>
      </c>
      <c r="M41" s="55">
        <f t="shared" si="69"/>
        <v>1.221321673</v>
      </c>
      <c r="N41" s="76"/>
      <c r="O41" s="76">
        <f>'LQ ADHK'!L41</f>
        <v>2.445221487</v>
      </c>
      <c r="P41" s="76">
        <f>'LQ ADHK'!M41</f>
        <v>2.441036281</v>
      </c>
      <c r="Q41" s="76">
        <f>'LQ ADHK'!N41</f>
        <v>2.466845416</v>
      </c>
      <c r="R41" s="56" t="str">
        <f t="shared" si="30"/>
        <v>Maju Pesat</v>
      </c>
      <c r="S41" s="114" t="str">
        <f t="shared" si="26"/>
        <v>Kuadran I</v>
      </c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</row>
    <row r="42">
      <c r="A42" s="58" t="s">
        <v>26</v>
      </c>
      <c r="B42" s="48"/>
      <c r="C42" s="112">
        <f t="shared" ref="C42:E42" si="70">(C19-B19)/B19</f>
        <v>0.07031531571</v>
      </c>
      <c r="D42" s="112">
        <f t="shared" si="70"/>
        <v>0.03360491029</v>
      </c>
      <c r="E42" s="112">
        <f t="shared" si="70"/>
        <v>0.0721840079</v>
      </c>
      <c r="F42" s="55"/>
      <c r="G42" s="113">
        <f t="shared" ref="G42:I42" si="71">(AA19-Z19)/Z19</f>
        <v>0.0975864427</v>
      </c>
      <c r="H42" s="113">
        <f t="shared" si="71"/>
        <v>0.06491097294</v>
      </c>
      <c r="I42" s="113">
        <f t="shared" si="71"/>
        <v>0.08303494493</v>
      </c>
      <c r="J42" s="55"/>
      <c r="K42" s="55">
        <f t="shared" ref="K42:M42" si="72">C42/G42</f>
        <v>0.7205438969</v>
      </c>
      <c r="L42" s="55">
        <f t="shared" si="72"/>
        <v>0.5177076966</v>
      </c>
      <c r="M42" s="55">
        <f t="shared" si="72"/>
        <v>0.8693208379</v>
      </c>
      <c r="N42" s="76"/>
      <c r="O42" s="76">
        <f>'LQ ADHK'!L42</f>
        <v>1.26926924</v>
      </c>
      <c r="P42" s="76">
        <f>'LQ ADHK'!M42</f>
        <v>1.191426062</v>
      </c>
      <c r="Q42" s="76">
        <f>'LQ ADHK'!N42</f>
        <v>1.177388574</v>
      </c>
      <c r="R42" s="56" t="str">
        <f t="shared" si="30"/>
        <v>Maju Pesat</v>
      </c>
      <c r="S42" s="114" t="str">
        <f t="shared" si="26"/>
        <v>Kuadran I</v>
      </c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</row>
    <row r="43">
      <c r="A43" s="118" t="s">
        <v>27</v>
      </c>
      <c r="B43" s="55"/>
      <c r="C43" s="112">
        <f t="shared" ref="C43:E43" si="73">(C20-B20)/B20</f>
        <v>0.05070099257</v>
      </c>
      <c r="D43" s="112">
        <f t="shared" si="73"/>
        <v>0.05028334958</v>
      </c>
      <c r="E43" s="112">
        <f t="shared" si="73"/>
        <v>0.05494394273</v>
      </c>
      <c r="F43" s="55"/>
      <c r="G43" s="113">
        <f t="shared" ref="G43:I43" si="74">(AA20-Z20)/Z20</f>
        <v>0.062533572</v>
      </c>
      <c r="H43" s="113">
        <f t="shared" si="74"/>
        <v>0.04923950184</v>
      </c>
      <c r="I43" s="113">
        <f t="shared" si="74"/>
        <v>0.05306516842</v>
      </c>
      <c r="J43" s="55"/>
      <c r="K43" s="55">
        <f t="shared" ref="K43:M43" si="75">C43/G43</f>
        <v>0.8107803687</v>
      </c>
      <c r="L43" s="55">
        <f t="shared" si="75"/>
        <v>1.021199397</v>
      </c>
      <c r="M43" s="55">
        <f t="shared" si="75"/>
        <v>1.035405038</v>
      </c>
      <c r="N43" s="84"/>
      <c r="O43" s="76">
        <f>'LQ ADHK'!L43</f>
        <v>1</v>
      </c>
      <c r="P43" s="76">
        <f>'LQ ADHK'!M43</f>
        <v>1</v>
      </c>
      <c r="Q43" s="76">
        <f>'LQ ADHK'!N43</f>
        <v>1</v>
      </c>
      <c r="R43" s="56"/>
      <c r="S43" s="90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</row>
    <row r="44">
      <c r="A44" s="64"/>
      <c r="B44" s="65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</row>
    <row r="45">
      <c r="A45" s="64"/>
      <c r="B45" s="65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</row>
    <row r="46">
      <c r="A46" s="64"/>
      <c r="B46" s="65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</row>
    <row r="47">
      <c r="A47" s="64"/>
      <c r="B47" s="65"/>
      <c r="C47" s="56"/>
      <c r="D47" s="56"/>
      <c r="E47" s="56"/>
      <c r="F47" s="119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</row>
    <row r="48">
      <c r="A48" s="64"/>
      <c r="B48" s="65"/>
      <c r="C48" s="56"/>
      <c r="D48" s="56"/>
      <c r="E48" s="56"/>
      <c r="F48" s="119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</row>
    <row r="49">
      <c r="A49" s="64"/>
      <c r="B49" s="65"/>
      <c r="C49" s="56"/>
      <c r="D49" s="56"/>
      <c r="E49" s="56"/>
      <c r="F49" s="120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</row>
    <row r="50">
      <c r="A50" s="64"/>
      <c r="B50" s="65"/>
      <c r="C50" s="56"/>
      <c r="D50" s="56"/>
      <c r="E50" s="56"/>
      <c r="F50" s="120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</row>
    <row r="51">
      <c r="A51" s="64"/>
      <c r="B51" s="65"/>
      <c r="C51" s="56"/>
      <c r="D51" s="56"/>
      <c r="E51" s="56"/>
      <c r="F51" s="120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</row>
    <row r="52">
      <c r="A52" s="64"/>
      <c r="B52" s="65"/>
      <c r="C52" s="56"/>
      <c r="D52" s="56"/>
      <c r="E52" s="56"/>
      <c r="F52" s="72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</row>
    <row r="53">
      <c r="A53" s="64"/>
      <c r="B53" s="65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</row>
    <row r="54">
      <c r="A54" s="64"/>
      <c r="B54" s="65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</row>
    <row r="55">
      <c r="A55" s="64"/>
      <c r="B55" s="65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</row>
    <row r="56">
      <c r="A56" s="64"/>
      <c r="B56" s="65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</row>
    <row r="57">
      <c r="A57" s="64"/>
      <c r="B57" s="65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</row>
    <row r="58">
      <c r="A58" s="64"/>
      <c r="B58" s="65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</row>
    <row r="59">
      <c r="A59" s="64"/>
      <c r="B59" s="65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</row>
    <row r="60">
      <c r="A60" s="64"/>
      <c r="B60" s="65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</row>
    <row r="61">
      <c r="A61" s="64"/>
      <c r="B61" s="65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</row>
    <row r="62">
      <c r="A62" s="64"/>
      <c r="B62" s="65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</row>
    <row r="63">
      <c r="A63" s="64"/>
      <c r="B63" s="65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</row>
    <row r="64">
      <c r="A64" s="64"/>
      <c r="B64" s="65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</row>
    <row r="65">
      <c r="A65" s="64"/>
      <c r="B65" s="65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</row>
    <row r="66">
      <c r="A66" s="64"/>
      <c r="B66" s="65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</row>
    <row r="67">
      <c r="A67" s="64"/>
      <c r="B67" s="65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</row>
    <row r="68">
      <c r="A68" s="64"/>
      <c r="B68" s="65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</row>
    <row r="69">
      <c r="A69" s="64"/>
      <c r="B69" s="65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</row>
    <row r="70">
      <c r="A70" s="64"/>
      <c r="B70" s="65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</row>
    <row r="71">
      <c r="A71" s="64"/>
      <c r="B71" s="65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</row>
    <row r="72">
      <c r="A72" s="64"/>
      <c r="B72" s="65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</row>
    <row r="73">
      <c r="A73" s="64"/>
      <c r="B73" s="65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</row>
    <row r="74">
      <c r="A74" s="64"/>
      <c r="B74" s="65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</row>
    <row r="75">
      <c r="A75" s="64"/>
      <c r="B75" s="65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</row>
    <row r="76">
      <c r="A76" s="64"/>
      <c r="B76" s="65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</row>
    <row r="77">
      <c r="A77" s="64"/>
      <c r="B77" s="65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</row>
    <row r="78">
      <c r="A78" s="64"/>
      <c r="B78" s="65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</row>
    <row r="79">
      <c r="A79" s="64"/>
      <c r="B79" s="65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</row>
    <row r="80">
      <c r="A80" s="64"/>
      <c r="B80" s="65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</row>
    <row r="81">
      <c r="A81" s="64"/>
      <c r="B81" s="65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</row>
    <row r="82">
      <c r="A82" s="64"/>
      <c r="B82" s="65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</row>
    <row r="83">
      <c r="A83" s="64"/>
      <c r="B83" s="65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</row>
    <row r="84">
      <c r="A84" s="64"/>
      <c r="B84" s="65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</row>
    <row r="85">
      <c r="A85" s="64"/>
      <c r="B85" s="65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</row>
    <row r="86">
      <c r="A86" s="64"/>
      <c r="B86" s="65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</row>
    <row r="87">
      <c r="A87" s="64"/>
      <c r="B87" s="65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</row>
    <row r="88">
      <c r="A88" s="64"/>
      <c r="B88" s="65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</row>
    <row r="89">
      <c r="A89" s="64"/>
      <c r="B89" s="65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</row>
    <row r="90">
      <c r="A90" s="64"/>
      <c r="B90" s="65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</row>
    <row r="91">
      <c r="A91" s="64"/>
      <c r="B91" s="65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</row>
    <row r="92">
      <c r="A92" s="64"/>
      <c r="B92" s="65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</row>
    <row r="93">
      <c r="A93" s="64"/>
      <c r="B93" s="65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</row>
    <row r="94">
      <c r="A94" s="64"/>
      <c r="B94" s="65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</row>
    <row r="95">
      <c r="A95" s="64"/>
      <c r="B95" s="65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</row>
    <row r="96">
      <c r="A96" s="64"/>
      <c r="B96" s="65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</row>
    <row r="97">
      <c r="A97" s="64"/>
      <c r="B97" s="65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</row>
    <row r="98">
      <c r="A98" s="64"/>
      <c r="B98" s="65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</row>
    <row r="99">
      <c r="A99" s="64"/>
      <c r="B99" s="65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</row>
    <row r="100">
      <c r="A100" s="64"/>
      <c r="B100" s="65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</row>
    <row r="101">
      <c r="A101" s="64"/>
      <c r="B101" s="65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</row>
    <row r="102">
      <c r="A102" s="64"/>
      <c r="B102" s="65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</row>
    <row r="103">
      <c r="A103" s="64"/>
      <c r="B103" s="65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</row>
    <row r="104">
      <c r="A104" s="64"/>
      <c r="B104" s="65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>
      <c r="A105" s="64"/>
      <c r="B105" s="65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</row>
    <row r="106">
      <c r="A106" s="64"/>
      <c r="B106" s="65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</row>
    <row r="107">
      <c r="A107" s="64"/>
      <c r="B107" s="65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</row>
    <row r="108">
      <c r="A108" s="64"/>
      <c r="B108" s="65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</row>
    <row r="109">
      <c r="A109" s="64"/>
      <c r="B109" s="65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</row>
    <row r="110">
      <c r="A110" s="64"/>
      <c r="B110" s="65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</row>
    <row r="111">
      <c r="A111" s="64"/>
      <c r="B111" s="65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</row>
    <row r="112">
      <c r="A112" s="64"/>
      <c r="B112" s="65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</row>
    <row r="113">
      <c r="A113" s="64"/>
      <c r="B113" s="65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</row>
    <row r="114">
      <c r="A114" s="64"/>
      <c r="B114" s="65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</row>
    <row r="115">
      <c r="A115" s="64"/>
      <c r="B115" s="65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</row>
    <row r="116">
      <c r="A116" s="64"/>
      <c r="B116" s="65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</row>
    <row r="117">
      <c r="A117" s="64"/>
      <c r="B117" s="65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</row>
    <row r="118">
      <c r="A118" s="64"/>
      <c r="B118" s="65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</row>
    <row r="119">
      <c r="A119" s="64"/>
      <c r="B119" s="65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</row>
    <row r="120">
      <c r="A120" s="64"/>
      <c r="B120" s="65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</row>
    <row r="121">
      <c r="A121" s="64"/>
      <c r="B121" s="65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</row>
    <row r="122">
      <c r="A122" s="64"/>
      <c r="B122" s="65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</row>
    <row r="123">
      <c r="A123" s="64"/>
      <c r="B123" s="65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</row>
    <row r="124">
      <c r="A124" s="64"/>
      <c r="B124" s="65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</row>
    <row r="125">
      <c r="A125" s="64"/>
      <c r="B125" s="65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</row>
    <row r="126">
      <c r="A126" s="64"/>
      <c r="B126" s="65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</row>
    <row r="127">
      <c r="A127" s="64"/>
      <c r="B127" s="65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</row>
    <row r="128">
      <c r="A128" s="64"/>
      <c r="B128" s="65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</row>
    <row r="129">
      <c r="A129" s="64"/>
      <c r="B129" s="65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</row>
    <row r="130">
      <c r="A130" s="64"/>
      <c r="B130" s="65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</row>
    <row r="131">
      <c r="A131" s="64"/>
      <c r="B131" s="65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</row>
    <row r="132">
      <c r="A132" s="64"/>
      <c r="B132" s="65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</row>
    <row r="133">
      <c r="A133" s="64"/>
      <c r="B133" s="65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</row>
    <row r="134">
      <c r="A134" s="64"/>
      <c r="B134" s="65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</row>
    <row r="135">
      <c r="A135" s="64"/>
      <c r="B135" s="65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</row>
    <row r="136">
      <c r="A136" s="64"/>
      <c r="B136" s="65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</row>
    <row r="137">
      <c r="A137" s="64"/>
      <c r="B137" s="65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</row>
    <row r="138">
      <c r="A138" s="64"/>
      <c r="B138" s="65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</row>
    <row r="139">
      <c r="A139" s="64"/>
      <c r="B139" s="65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</row>
    <row r="140">
      <c r="A140" s="64"/>
      <c r="B140" s="65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</row>
    <row r="141">
      <c r="A141" s="64"/>
      <c r="B141" s="65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</row>
    <row r="142">
      <c r="A142" s="64"/>
      <c r="B142" s="65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</row>
    <row r="143">
      <c r="A143" s="64"/>
      <c r="B143" s="65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</row>
    <row r="144">
      <c r="A144" s="64"/>
      <c r="B144" s="65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</row>
    <row r="145">
      <c r="A145" s="64"/>
      <c r="B145" s="65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</row>
    <row r="146">
      <c r="A146" s="64"/>
      <c r="B146" s="65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</row>
    <row r="147">
      <c r="A147" s="64"/>
      <c r="B147" s="65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</row>
    <row r="148">
      <c r="A148" s="64"/>
      <c r="B148" s="65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</row>
    <row r="149">
      <c r="A149" s="64"/>
      <c r="B149" s="65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</row>
    <row r="150">
      <c r="A150" s="64"/>
      <c r="B150" s="65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</row>
    <row r="151">
      <c r="A151" s="64"/>
      <c r="B151" s="65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</row>
    <row r="152">
      <c r="A152" s="64"/>
      <c r="B152" s="65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</row>
    <row r="153">
      <c r="A153" s="64"/>
      <c r="B153" s="65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</row>
    <row r="154">
      <c r="A154" s="64"/>
      <c r="B154" s="65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</row>
    <row r="155">
      <c r="A155" s="64"/>
      <c r="B155" s="65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</row>
    <row r="156">
      <c r="A156" s="64"/>
      <c r="B156" s="65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</row>
    <row r="157">
      <c r="A157" s="64"/>
      <c r="B157" s="65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</row>
    <row r="158">
      <c r="A158" s="64"/>
      <c r="B158" s="65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</row>
    <row r="159">
      <c r="A159" s="64"/>
      <c r="B159" s="65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</row>
    <row r="160">
      <c r="A160" s="64"/>
      <c r="B160" s="65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</row>
    <row r="161">
      <c r="A161" s="64"/>
      <c r="B161" s="65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</row>
    <row r="162">
      <c r="A162" s="64"/>
      <c r="B162" s="65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</row>
    <row r="163">
      <c r="A163" s="64"/>
      <c r="B163" s="65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</row>
    <row r="164">
      <c r="A164" s="64"/>
      <c r="B164" s="65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</row>
    <row r="165">
      <c r="A165" s="64"/>
      <c r="B165" s="65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</row>
    <row r="166">
      <c r="A166" s="64"/>
      <c r="B166" s="65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</row>
    <row r="167">
      <c r="A167" s="64"/>
      <c r="B167" s="65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</row>
    <row r="168">
      <c r="A168" s="64"/>
      <c r="B168" s="65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</row>
    <row r="169">
      <c r="A169" s="64"/>
      <c r="B169" s="65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</row>
    <row r="170">
      <c r="A170" s="64"/>
      <c r="B170" s="65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</row>
    <row r="171">
      <c r="A171" s="64"/>
      <c r="B171" s="65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</row>
    <row r="172">
      <c r="A172" s="64"/>
      <c r="B172" s="65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</row>
    <row r="173">
      <c r="A173" s="64"/>
      <c r="B173" s="65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</row>
    <row r="174">
      <c r="A174" s="64"/>
      <c r="B174" s="65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</row>
    <row r="175">
      <c r="A175" s="64"/>
      <c r="B175" s="65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</row>
    <row r="176">
      <c r="A176" s="64"/>
      <c r="B176" s="65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</row>
    <row r="177">
      <c r="A177" s="64"/>
      <c r="B177" s="65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</row>
    <row r="178">
      <c r="A178" s="64"/>
      <c r="B178" s="65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</row>
    <row r="179">
      <c r="A179" s="64"/>
      <c r="B179" s="65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</row>
    <row r="180">
      <c r="A180" s="64"/>
      <c r="B180" s="65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</row>
    <row r="181">
      <c r="A181" s="64"/>
      <c r="B181" s="65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</row>
    <row r="182">
      <c r="A182" s="64"/>
      <c r="B182" s="65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</row>
    <row r="183">
      <c r="A183" s="64"/>
      <c r="B183" s="65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</row>
    <row r="184">
      <c r="A184" s="64"/>
      <c r="B184" s="65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</row>
    <row r="185">
      <c r="A185" s="64"/>
      <c r="B185" s="65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</row>
    <row r="186">
      <c r="A186" s="64"/>
      <c r="B186" s="65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</row>
    <row r="187">
      <c r="A187" s="64"/>
      <c r="B187" s="65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</row>
    <row r="188">
      <c r="A188" s="64"/>
      <c r="B188" s="65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</row>
    <row r="189">
      <c r="A189" s="64"/>
      <c r="B189" s="65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</row>
    <row r="190">
      <c r="A190" s="64"/>
      <c r="B190" s="65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</row>
    <row r="191">
      <c r="A191" s="64"/>
      <c r="B191" s="65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</row>
    <row r="192">
      <c r="A192" s="64"/>
      <c r="B192" s="65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</row>
    <row r="193">
      <c r="A193" s="64"/>
      <c r="B193" s="65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</row>
    <row r="194">
      <c r="A194" s="64"/>
      <c r="B194" s="65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</row>
    <row r="195">
      <c r="A195" s="64"/>
      <c r="B195" s="65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</row>
    <row r="196">
      <c r="A196" s="64"/>
      <c r="B196" s="65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</row>
    <row r="197">
      <c r="A197" s="64"/>
      <c r="B197" s="65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</row>
    <row r="198">
      <c r="A198" s="64"/>
      <c r="B198" s="65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</row>
    <row r="199">
      <c r="A199" s="64"/>
      <c r="B199" s="65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</row>
    <row r="200">
      <c r="A200" s="64"/>
      <c r="B200" s="65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</row>
    <row r="201">
      <c r="A201" s="64"/>
      <c r="B201" s="65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</row>
    <row r="202">
      <c r="A202" s="64"/>
      <c r="B202" s="65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</row>
    <row r="203">
      <c r="A203" s="64"/>
      <c r="B203" s="65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</row>
    <row r="204">
      <c r="A204" s="64"/>
      <c r="B204" s="65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</row>
    <row r="205">
      <c r="A205" s="64"/>
      <c r="B205" s="65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</row>
    <row r="206">
      <c r="A206" s="64"/>
      <c r="B206" s="65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</row>
    <row r="207">
      <c r="A207" s="64"/>
      <c r="B207" s="65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</row>
    <row r="208">
      <c r="A208" s="64"/>
      <c r="B208" s="65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</row>
    <row r="209">
      <c r="A209" s="64"/>
      <c r="B209" s="65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</row>
    <row r="210">
      <c r="A210" s="64"/>
      <c r="B210" s="65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</row>
    <row r="211">
      <c r="A211" s="64"/>
      <c r="B211" s="65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</row>
    <row r="212">
      <c r="A212" s="64"/>
      <c r="B212" s="65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</row>
    <row r="213">
      <c r="A213" s="64"/>
      <c r="B213" s="65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</row>
    <row r="214">
      <c r="A214" s="64"/>
      <c r="B214" s="65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</row>
    <row r="215">
      <c r="A215" s="64"/>
      <c r="B215" s="65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</row>
    <row r="216">
      <c r="A216" s="64"/>
      <c r="B216" s="65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</row>
    <row r="217">
      <c r="A217" s="64"/>
      <c r="B217" s="65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</row>
    <row r="218">
      <c r="A218" s="64"/>
      <c r="B218" s="65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</row>
    <row r="219">
      <c r="A219" s="64"/>
      <c r="B219" s="65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</row>
    <row r="220">
      <c r="A220" s="64"/>
      <c r="B220" s="65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</row>
    <row r="221">
      <c r="A221" s="64"/>
      <c r="B221" s="65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</row>
    <row r="222">
      <c r="A222" s="64"/>
      <c r="B222" s="65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</row>
    <row r="223">
      <c r="A223" s="64"/>
      <c r="B223" s="65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</row>
    <row r="224">
      <c r="A224" s="64"/>
      <c r="B224" s="65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</row>
    <row r="225">
      <c r="A225" s="64"/>
      <c r="B225" s="65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</row>
    <row r="226">
      <c r="A226" s="64"/>
      <c r="B226" s="65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</row>
    <row r="227">
      <c r="A227" s="64"/>
      <c r="B227" s="65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</row>
    <row r="228">
      <c r="A228" s="64"/>
      <c r="B228" s="65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</row>
    <row r="229">
      <c r="A229" s="64"/>
      <c r="B229" s="65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</row>
    <row r="230">
      <c r="A230" s="64"/>
      <c r="B230" s="65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</row>
    <row r="231">
      <c r="A231" s="64"/>
      <c r="B231" s="65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</row>
    <row r="232">
      <c r="A232" s="64"/>
      <c r="B232" s="65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</row>
    <row r="233">
      <c r="A233" s="64"/>
      <c r="B233" s="65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</row>
    <row r="234">
      <c r="A234" s="64"/>
      <c r="B234" s="65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</row>
    <row r="235">
      <c r="A235" s="64"/>
      <c r="B235" s="65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</row>
    <row r="236">
      <c r="A236" s="64"/>
      <c r="B236" s="65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</row>
    <row r="237">
      <c r="A237" s="64"/>
      <c r="B237" s="65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</row>
    <row r="238">
      <c r="A238" s="64"/>
      <c r="B238" s="65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</row>
    <row r="239">
      <c r="A239" s="64"/>
      <c r="B239" s="65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</row>
    <row r="240">
      <c r="A240" s="64"/>
      <c r="B240" s="65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</row>
    <row r="241">
      <c r="A241" s="64"/>
      <c r="B241" s="65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</row>
    <row r="242">
      <c r="A242" s="64"/>
      <c r="B242" s="65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</row>
    <row r="243">
      <c r="A243" s="64"/>
      <c r="B243" s="65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</row>
    <row r="244">
      <c r="A244" s="64"/>
      <c r="B244" s="65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</row>
    <row r="245">
      <c r="A245" s="64"/>
      <c r="B245" s="65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</row>
    <row r="246">
      <c r="A246" s="64"/>
      <c r="B246" s="65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</row>
    <row r="247">
      <c r="A247" s="64"/>
      <c r="B247" s="65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</row>
    <row r="248">
      <c r="A248" s="64"/>
      <c r="B248" s="65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</row>
    <row r="249">
      <c r="A249" s="64"/>
      <c r="B249" s="65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</row>
    <row r="250">
      <c r="A250" s="64"/>
      <c r="B250" s="65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</row>
    <row r="251">
      <c r="A251" s="64"/>
      <c r="B251" s="65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</row>
    <row r="252">
      <c r="A252" s="64"/>
      <c r="B252" s="65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</row>
    <row r="253">
      <c r="A253" s="64"/>
      <c r="B253" s="65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</row>
    <row r="254">
      <c r="A254" s="64"/>
      <c r="B254" s="65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</row>
    <row r="255">
      <c r="A255" s="64"/>
      <c r="B255" s="65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</row>
    <row r="256">
      <c r="A256" s="64"/>
      <c r="B256" s="65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</row>
    <row r="257">
      <c r="A257" s="64"/>
      <c r="B257" s="65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</row>
    <row r="258">
      <c r="A258" s="64"/>
      <c r="B258" s="65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</row>
    <row r="259">
      <c r="A259" s="64"/>
      <c r="B259" s="65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</row>
    <row r="260">
      <c r="A260" s="64"/>
      <c r="B260" s="65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</row>
    <row r="261">
      <c r="A261" s="64"/>
      <c r="B261" s="65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</row>
    <row r="262">
      <c r="A262" s="64"/>
      <c r="B262" s="65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</row>
    <row r="263">
      <c r="A263" s="64"/>
      <c r="B263" s="65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</row>
    <row r="264">
      <c r="A264" s="64"/>
      <c r="B264" s="65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</row>
    <row r="265">
      <c r="A265" s="64"/>
      <c r="B265" s="65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</row>
    <row r="266">
      <c r="A266" s="64"/>
      <c r="B266" s="65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</row>
    <row r="267">
      <c r="A267" s="64"/>
      <c r="B267" s="65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</row>
    <row r="268">
      <c r="A268" s="64"/>
      <c r="B268" s="65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</row>
    <row r="269">
      <c r="A269" s="64"/>
      <c r="B269" s="65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</row>
    <row r="270">
      <c r="A270" s="64"/>
      <c r="B270" s="65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</row>
    <row r="271">
      <c r="A271" s="64"/>
      <c r="B271" s="65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</row>
    <row r="272">
      <c r="A272" s="64"/>
      <c r="B272" s="65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</row>
    <row r="273">
      <c r="A273" s="64"/>
      <c r="B273" s="65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</row>
    <row r="274">
      <c r="A274" s="64"/>
      <c r="B274" s="65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</row>
    <row r="275">
      <c r="A275" s="64"/>
      <c r="B275" s="65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</row>
    <row r="276">
      <c r="A276" s="64"/>
      <c r="B276" s="65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</row>
    <row r="277">
      <c r="A277" s="64"/>
      <c r="B277" s="65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</row>
    <row r="278">
      <c r="A278" s="64"/>
      <c r="B278" s="65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</row>
    <row r="279">
      <c r="A279" s="64"/>
      <c r="B279" s="65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</row>
    <row r="280">
      <c r="A280" s="64"/>
      <c r="B280" s="65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</row>
    <row r="281">
      <c r="A281" s="64"/>
      <c r="B281" s="65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</row>
    <row r="282">
      <c r="A282" s="64"/>
      <c r="B282" s="65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</row>
    <row r="283">
      <c r="A283" s="64"/>
      <c r="B283" s="65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</row>
    <row r="284">
      <c r="A284" s="64"/>
      <c r="B284" s="65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</row>
    <row r="285">
      <c r="A285" s="64"/>
      <c r="B285" s="65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</row>
    <row r="286">
      <c r="A286" s="64"/>
      <c r="B286" s="65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</row>
    <row r="287">
      <c r="A287" s="64"/>
      <c r="B287" s="65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</row>
    <row r="288">
      <c r="A288" s="64"/>
      <c r="B288" s="65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</row>
    <row r="289">
      <c r="A289" s="64"/>
      <c r="B289" s="65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</row>
    <row r="290">
      <c r="A290" s="64"/>
      <c r="B290" s="65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</row>
    <row r="291">
      <c r="A291" s="64"/>
      <c r="B291" s="65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</row>
    <row r="292">
      <c r="A292" s="64"/>
      <c r="B292" s="65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</row>
    <row r="293">
      <c r="A293" s="64"/>
      <c r="B293" s="65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</row>
    <row r="294">
      <c r="A294" s="64"/>
      <c r="B294" s="65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</row>
    <row r="295">
      <c r="A295" s="64"/>
      <c r="B295" s="65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</row>
    <row r="296">
      <c r="A296" s="64"/>
      <c r="B296" s="65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</row>
    <row r="297">
      <c r="A297" s="64"/>
      <c r="B297" s="65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</row>
    <row r="298">
      <c r="A298" s="64"/>
      <c r="B298" s="65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</row>
    <row r="299">
      <c r="A299" s="64"/>
      <c r="B299" s="65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</row>
    <row r="300">
      <c r="A300" s="64"/>
      <c r="B300" s="65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</row>
    <row r="301">
      <c r="A301" s="64"/>
      <c r="B301" s="65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</row>
    <row r="302">
      <c r="A302" s="64"/>
      <c r="B302" s="65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</row>
    <row r="303">
      <c r="A303" s="64"/>
      <c r="B303" s="65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</row>
    <row r="304">
      <c r="A304" s="64"/>
      <c r="B304" s="65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</row>
    <row r="305">
      <c r="A305" s="64"/>
      <c r="B305" s="65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</row>
    <row r="306">
      <c r="A306" s="64"/>
      <c r="B306" s="65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</row>
    <row r="307">
      <c r="A307" s="64"/>
      <c r="B307" s="65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</row>
    <row r="308">
      <c r="A308" s="64"/>
      <c r="B308" s="65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</row>
    <row r="309">
      <c r="A309" s="64"/>
      <c r="B309" s="65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</row>
    <row r="310">
      <c r="A310" s="64"/>
      <c r="B310" s="65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</row>
    <row r="311">
      <c r="A311" s="64"/>
      <c r="B311" s="65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</row>
    <row r="312">
      <c r="A312" s="64"/>
      <c r="B312" s="65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</row>
    <row r="313">
      <c r="A313" s="64"/>
      <c r="B313" s="65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</row>
    <row r="314">
      <c r="A314" s="64"/>
      <c r="B314" s="65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</row>
    <row r="315">
      <c r="A315" s="64"/>
      <c r="B315" s="65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</row>
    <row r="316">
      <c r="A316" s="64"/>
      <c r="B316" s="65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</row>
    <row r="317">
      <c r="A317" s="64"/>
      <c r="B317" s="65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</row>
    <row r="318">
      <c r="A318" s="64"/>
      <c r="B318" s="65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</row>
    <row r="319">
      <c r="A319" s="64"/>
      <c r="B319" s="65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</row>
    <row r="320">
      <c r="A320" s="64"/>
      <c r="B320" s="65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</row>
    <row r="321">
      <c r="A321" s="64"/>
      <c r="B321" s="65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</row>
    <row r="322">
      <c r="A322" s="64"/>
      <c r="B322" s="65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</row>
    <row r="323">
      <c r="A323" s="64"/>
      <c r="B323" s="65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</row>
    <row r="324">
      <c r="A324" s="64"/>
      <c r="B324" s="65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</row>
    <row r="325">
      <c r="A325" s="64"/>
      <c r="B325" s="65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</row>
    <row r="326">
      <c r="A326" s="64"/>
      <c r="B326" s="65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</row>
    <row r="327">
      <c r="A327" s="64"/>
      <c r="B327" s="65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</row>
    <row r="328">
      <c r="A328" s="64"/>
      <c r="B328" s="65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</row>
    <row r="329">
      <c r="A329" s="64"/>
      <c r="B329" s="65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</row>
    <row r="330">
      <c r="A330" s="64"/>
      <c r="B330" s="65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</row>
    <row r="331">
      <c r="A331" s="64"/>
      <c r="B331" s="65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</row>
    <row r="332">
      <c r="A332" s="64"/>
      <c r="B332" s="65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</row>
    <row r="333">
      <c r="A333" s="64"/>
      <c r="B333" s="65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</row>
    <row r="334">
      <c r="A334" s="64"/>
      <c r="B334" s="65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</row>
    <row r="335">
      <c r="A335" s="64"/>
      <c r="B335" s="65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</row>
    <row r="336">
      <c r="A336" s="64"/>
      <c r="B336" s="65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</row>
    <row r="337">
      <c r="A337" s="64"/>
      <c r="B337" s="65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</row>
    <row r="338">
      <c r="A338" s="64"/>
      <c r="B338" s="65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</row>
    <row r="339">
      <c r="A339" s="64"/>
      <c r="B339" s="65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</row>
    <row r="340">
      <c r="A340" s="64"/>
      <c r="B340" s="65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</row>
    <row r="341">
      <c r="A341" s="64"/>
      <c r="B341" s="65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</row>
    <row r="342">
      <c r="A342" s="64"/>
      <c r="B342" s="65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</row>
    <row r="343">
      <c r="A343" s="64"/>
      <c r="B343" s="65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</row>
    <row r="344">
      <c r="A344" s="64"/>
      <c r="B344" s="65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</row>
    <row r="345">
      <c r="A345" s="64"/>
      <c r="B345" s="65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</row>
    <row r="346">
      <c r="A346" s="64"/>
      <c r="B346" s="65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</row>
    <row r="347">
      <c r="A347" s="64"/>
      <c r="B347" s="65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</row>
    <row r="348">
      <c r="A348" s="64"/>
      <c r="B348" s="65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</row>
    <row r="349">
      <c r="A349" s="64"/>
      <c r="B349" s="65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</row>
    <row r="350">
      <c r="A350" s="64"/>
      <c r="B350" s="65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</row>
    <row r="351">
      <c r="A351" s="64"/>
      <c r="B351" s="65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</row>
    <row r="352">
      <c r="A352" s="64"/>
      <c r="B352" s="65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</row>
    <row r="353">
      <c r="A353" s="64"/>
      <c r="B353" s="65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</row>
    <row r="354">
      <c r="A354" s="64"/>
      <c r="B354" s="65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</row>
    <row r="355">
      <c r="A355" s="64"/>
      <c r="B355" s="65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</row>
    <row r="356">
      <c r="A356" s="64"/>
      <c r="B356" s="65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</row>
    <row r="357">
      <c r="A357" s="64"/>
      <c r="B357" s="65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</row>
    <row r="358">
      <c r="A358" s="64"/>
      <c r="B358" s="65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</row>
    <row r="359">
      <c r="A359" s="64"/>
      <c r="B359" s="65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</row>
    <row r="360">
      <c r="A360" s="64"/>
      <c r="B360" s="65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</row>
    <row r="361">
      <c r="A361" s="64"/>
      <c r="B361" s="65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</row>
    <row r="362">
      <c r="A362" s="64"/>
      <c r="B362" s="65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</row>
    <row r="363">
      <c r="A363" s="64"/>
      <c r="B363" s="65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</row>
    <row r="364">
      <c r="A364" s="64"/>
      <c r="B364" s="65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</row>
    <row r="365">
      <c r="A365" s="64"/>
      <c r="B365" s="65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</row>
    <row r="366">
      <c r="A366" s="64"/>
      <c r="B366" s="65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</row>
    <row r="367">
      <c r="A367" s="64"/>
      <c r="B367" s="65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</row>
    <row r="368">
      <c r="A368" s="64"/>
      <c r="B368" s="65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</row>
    <row r="369">
      <c r="A369" s="64"/>
      <c r="B369" s="65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</row>
    <row r="370">
      <c r="A370" s="64"/>
      <c r="B370" s="65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</row>
    <row r="371">
      <c r="A371" s="64"/>
      <c r="B371" s="65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</row>
    <row r="372">
      <c r="A372" s="64"/>
      <c r="B372" s="65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</row>
    <row r="373">
      <c r="A373" s="64"/>
      <c r="B373" s="65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</row>
    <row r="374">
      <c r="A374" s="64"/>
      <c r="B374" s="65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</row>
    <row r="375">
      <c r="A375" s="64"/>
      <c r="B375" s="65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</row>
    <row r="376">
      <c r="A376" s="64"/>
      <c r="B376" s="65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</row>
    <row r="377">
      <c r="A377" s="64"/>
      <c r="B377" s="65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</row>
    <row r="378">
      <c r="A378" s="64"/>
      <c r="B378" s="65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</row>
    <row r="379">
      <c r="A379" s="64"/>
      <c r="B379" s="65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</row>
    <row r="380">
      <c r="A380" s="64"/>
      <c r="B380" s="65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</row>
    <row r="381">
      <c r="A381" s="64"/>
      <c r="B381" s="65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</row>
    <row r="382">
      <c r="A382" s="64"/>
      <c r="B382" s="65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</row>
    <row r="383">
      <c r="A383" s="64"/>
      <c r="B383" s="65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</row>
    <row r="384">
      <c r="A384" s="64"/>
      <c r="B384" s="65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</row>
    <row r="385">
      <c r="A385" s="64"/>
      <c r="B385" s="65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</row>
    <row r="386">
      <c r="A386" s="64"/>
      <c r="B386" s="65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</row>
    <row r="387">
      <c r="A387" s="64"/>
      <c r="B387" s="65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</row>
    <row r="388">
      <c r="A388" s="64"/>
      <c r="B388" s="65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</row>
    <row r="389">
      <c r="A389" s="64"/>
      <c r="B389" s="65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</row>
    <row r="390">
      <c r="A390" s="64"/>
      <c r="B390" s="65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</row>
    <row r="391">
      <c r="A391" s="64"/>
      <c r="B391" s="65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</row>
    <row r="392">
      <c r="A392" s="64"/>
      <c r="B392" s="65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</row>
    <row r="393">
      <c r="A393" s="64"/>
      <c r="B393" s="65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</row>
    <row r="394">
      <c r="A394" s="64"/>
      <c r="B394" s="65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</row>
    <row r="395">
      <c r="A395" s="64"/>
      <c r="B395" s="65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</row>
    <row r="396">
      <c r="A396" s="64"/>
      <c r="B396" s="65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</row>
    <row r="397">
      <c r="A397" s="64"/>
      <c r="B397" s="65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</row>
    <row r="398">
      <c r="A398" s="64"/>
      <c r="B398" s="65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</row>
    <row r="399">
      <c r="A399" s="64"/>
      <c r="B399" s="65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</row>
    <row r="400">
      <c r="A400" s="64"/>
      <c r="B400" s="65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</row>
    <row r="401">
      <c r="A401" s="64"/>
      <c r="B401" s="65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</row>
    <row r="402">
      <c r="A402" s="64"/>
      <c r="B402" s="65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</row>
    <row r="403">
      <c r="A403" s="64"/>
      <c r="B403" s="65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</row>
    <row r="404">
      <c r="A404" s="64"/>
      <c r="B404" s="65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</row>
    <row r="405">
      <c r="A405" s="64"/>
      <c r="B405" s="65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</row>
    <row r="406">
      <c r="A406" s="64"/>
      <c r="B406" s="65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</row>
    <row r="407">
      <c r="A407" s="64"/>
      <c r="B407" s="65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</row>
    <row r="408">
      <c r="A408" s="64"/>
      <c r="B408" s="65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</row>
    <row r="409">
      <c r="A409" s="64"/>
      <c r="B409" s="65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</row>
    <row r="410">
      <c r="A410" s="64"/>
      <c r="B410" s="65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</row>
    <row r="411">
      <c r="A411" s="64"/>
      <c r="B411" s="65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</row>
    <row r="412">
      <c r="A412" s="64"/>
      <c r="B412" s="65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</row>
    <row r="413">
      <c r="A413" s="64"/>
      <c r="B413" s="65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</row>
    <row r="414">
      <c r="A414" s="64"/>
      <c r="B414" s="65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</row>
    <row r="415">
      <c r="A415" s="64"/>
      <c r="B415" s="65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</row>
    <row r="416">
      <c r="A416" s="64"/>
      <c r="B416" s="65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</row>
    <row r="417">
      <c r="A417" s="64"/>
      <c r="B417" s="65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</row>
    <row r="418">
      <c r="A418" s="64"/>
      <c r="B418" s="65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</row>
    <row r="419">
      <c r="A419" s="64"/>
      <c r="B419" s="65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</row>
    <row r="420">
      <c r="A420" s="64"/>
      <c r="B420" s="65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</row>
    <row r="421">
      <c r="A421" s="64"/>
      <c r="B421" s="65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</row>
    <row r="422">
      <c r="A422" s="64"/>
      <c r="B422" s="65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</row>
    <row r="423">
      <c r="A423" s="64"/>
      <c r="B423" s="65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</row>
    <row r="424">
      <c r="A424" s="64"/>
      <c r="B424" s="65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</row>
    <row r="425">
      <c r="A425" s="64"/>
      <c r="B425" s="65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</row>
    <row r="426">
      <c r="A426" s="64"/>
      <c r="B426" s="65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</row>
    <row r="427">
      <c r="A427" s="64"/>
      <c r="B427" s="65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</row>
    <row r="428">
      <c r="A428" s="64"/>
      <c r="B428" s="65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</row>
    <row r="429">
      <c r="A429" s="64"/>
      <c r="B429" s="65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</row>
    <row r="430">
      <c r="A430" s="64"/>
      <c r="B430" s="65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</row>
    <row r="431">
      <c r="A431" s="64"/>
      <c r="B431" s="65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</row>
    <row r="432">
      <c r="A432" s="64"/>
      <c r="B432" s="65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</row>
    <row r="433">
      <c r="A433" s="64"/>
      <c r="B433" s="65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</row>
    <row r="434">
      <c r="A434" s="64"/>
      <c r="B434" s="65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</row>
    <row r="435">
      <c r="A435" s="64"/>
      <c r="B435" s="65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</row>
    <row r="436">
      <c r="A436" s="64"/>
      <c r="B436" s="65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</row>
    <row r="437">
      <c r="A437" s="64"/>
      <c r="B437" s="65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</row>
    <row r="438">
      <c r="A438" s="64"/>
      <c r="B438" s="65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</row>
    <row r="439">
      <c r="A439" s="64"/>
      <c r="B439" s="65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</row>
    <row r="440">
      <c r="A440" s="64"/>
      <c r="B440" s="65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</row>
    <row r="441">
      <c r="A441" s="64"/>
      <c r="B441" s="65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</row>
    <row r="442">
      <c r="A442" s="64"/>
      <c r="B442" s="65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</row>
    <row r="443">
      <c r="A443" s="64"/>
      <c r="B443" s="65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</row>
    <row r="444">
      <c r="A444" s="64"/>
      <c r="B444" s="65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</row>
    <row r="445">
      <c r="A445" s="64"/>
      <c r="B445" s="65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</row>
    <row r="446">
      <c r="A446" s="64"/>
      <c r="B446" s="65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</row>
    <row r="447">
      <c r="A447" s="64"/>
      <c r="B447" s="65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</row>
    <row r="448">
      <c r="A448" s="64"/>
      <c r="B448" s="65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</row>
    <row r="449">
      <c r="A449" s="64"/>
      <c r="B449" s="65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</row>
    <row r="450">
      <c r="A450" s="64"/>
      <c r="B450" s="65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</row>
    <row r="451">
      <c r="A451" s="64"/>
      <c r="B451" s="65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</row>
    <row r="452">
      <c r="A452" s="64"/>
      <c r="B452" s="65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</row>
    <row r="453">
      <c r="A453" s="64"/>
      <c r="B453" s="65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</row>
    <row r="454">
      <c r="A454" s="64"/>
      <c r="B454" s="65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</row>
    <row r="455">
      <c r="A455" s="64"/>
      <c r="B455" s="65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</row>
    <row r="456">
      <c r="A456" s="64"/>
      <c r="B456" s="65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</row>
    <row r="457">
      <c r="A457" s="64"/>
      <c r="B457" s="65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</row>
    <row r="458">
      <c r="A458" s="64"/>
      <c r="B458" s="65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</row>
    <row r="459">
      <c r="A459" s="64"/>
      <c r="B459" s="65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</row>
    <row r="460">
      <c r="A460" s="64"/>
      <c r="B460" s="65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</row>
    <row r="461">
      <c r="A461" s="64"/>
      <c r="B461" s="65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</row>
    <row r="462">
      <c r="A462" s="64"/>
      <c r="B462" s="65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</row>
    <row r="463">
      <c r="A463" s="64"/>
      <c r="B463" s="65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</row>
    <row r="464">
      <c r="A464" s="64"/>
      <c r="B464" s="65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</row>
    <row r="465">
      <c r="A465" s="64"/>
      <c r="B465" s="65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</row>
    <row r="466">
      <c r="A466" s="64"/>
      <c r="B466" s="65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</row>
    <row r="467">
      <c r="A467" s="64"/>
      <c r="B467" s="65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</row>
    <row r="468">
      <c r="A468" s="64"/>
      <c r="B468" s="65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</row>
    <row r="469">
      <c r="A469" s="64"/>
      <c r="B469" s="65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</row>
    <row r="470">
      <c r="A470" s="64"/>
      <c r="B470" s="65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</row>
    <row r="471">
      <c r="A471" s="64"/>
      <c r="B471" s="65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</row>
    <row r="472">
      <c r="A472" s="64"/>
      <c r="B472" s="65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</row>
    <row r="473">
      <c r="A473" s="64"/>
      <c r="B473" s="65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</row>
    <row r="474">
      <c r="A474" s="64"/>
      <c r="B474" s="65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</row>
    <row r="475">
      <c r="A475" s="64"/>
      <c r="B475" s="65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</row>
    <row r="476">
      <c r="A476" s="64"/>
      <c r="B476" s="65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</row>
    <row r="477">
      <c r="A477" s="64"/>
      <c r="B477" s="65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</row>
    <row r="478">
      <c r="A478" s="64"/>
      <c r="B478" s="65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</row>
    <row r="479">
      <c r="A479" s="64"/>
      <c r="B479" s="65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</row>
    <row r="480">
      <c r="A480" s="64"/>
      <c r="B480" s="65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</row>
    <row r="481">
      <c r="A481" s="64"/>
      <c r="B481" s="65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</row>
    <row r="482">
      <c r="A482" s="64"/>
      <c r="B482" s="65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</row>
    <row r="483">
      <c r="A483" s="64"/>
      <c r="B483" s="65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</row>
    <row r="484">
      <c r="A484" s="64"/>
      <c r="B484" s="65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</row>
    <row r="485">
      <c r="A485" s="64"/>
      <c r="B485" s="65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</row>
    <row r="486">
      <c r="A486" s="64"/>
      <c r="B486" s="65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</row>
    <row r="487">
      <c r="A487" s="64"/>
      <c r="B487" s="65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</row>
    <row r="488">
      <c r="A488" s="64"/>
      <c r="B488" s="65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</row>
    <row r="489">
      <c r="A489" s="64"/>
      <c r="B489" s="65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</row>
    <row r="490">
      <c r="A490" s="64"/>
      <c r="B490" s="65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</row>
    <row r="491">
      <c r="A491" s="64"/>
      <c r="B491" s="65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</row>
    <row r="492">
      <c r="A492" s="64"/>
      <c r="B492" s="65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</row>
    <row r="493">
      <c r="A493" s="64"/>
      <c r="B493" s="65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</row>
    <row r="494">
      <c r="A494" s="64"/>
      <c r="B494" s="65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</row>
    <row r="495">
      <c r="A495" s="64"/>
      <c r="B495" s="65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</row>
    <row r="496">
      <c r="A496" s="64"/>
      <c r="B496" s="65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</row>
    <row r="497">
      <c r="A497" s="64"/>
      <c r="B497" s="65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</row>
    <row r="498">
      <c r="A498" s="64"/>
      <c r="B498" s="65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</row>
    <row r="499">
      <c r="A499" s="64"/>
      <c r="B499" s="65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</row>
    <row r="500">
      <c r="A500" s="64"/>
      <c r="B500" s="65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</row>
    <row r="501">
      <c r="A501" s="64"/>
      <c r="B501" s="65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</row>
    <row r="502">
      <c r="A502" s="64"/>
      <c r="B502" s="65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</row>
    <row r="503">
      <c r="A503" s="64"/>
      <c r="B503" s="65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</row>
    <row r="504">
      <c r="A504" s="64"/>
      <c r="B504" s="65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</row>
    <row r="505">
      <c r="A505" s="64"/>
      <c r="B505" s="65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</row>
    <row r="506">
      <c r="A506" s="64"/>
      <c r="B506" s="65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</row>
    <row r="507">
      <c r="A507" s="64"/>
      <c r="B507" s="65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</row>
    <row r="508">
      <c r="A508" s="64"/>
      <c r="B508" s="65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</row>
    <row r="509">
      <c r="A509" s="64"/>
      <c r="B509" s="65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</row>
    <row r="510">
      <c r="A510" s="64"/>
      <c r="B510" s="65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</row>
    <row r="511">
      <c r="A511" s="64"/>
      <c r="B511" s="65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</row>
    <row r="512">
      <c r="A512" s="64"/>
      <c r="B512" s="65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</row>
    <row r="513">
      <c r="A513" s="64"/>
      <c r="B513" s="65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</row>
    <row r="514">
      <c r="A514" s="64"/>
      <c r="B514" s="65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</row>
    <row r="515">
      <c r="A515" s="64"/>
      <c r="B515" s="65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</row>
    <row r="516">
      <c r="A516" s="64"/>
      <c r="B516" s="65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</row>
    <row r="517">
      <c r="A517" s="64"/>
      <c r="B517" s="65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</row>
    <row r="518">
      <c r="A518" s="64"/>
      <c r="B518" s="65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</row>
    <row r="519">
      <c r="A519" s="64"/>
      <c r="B519" s="65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</row>
    <row r="520">
      <c r="A520" s="64"/>
      <c r="B520" s="65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</row>
    <row r="521">
      <c r="A521" s="64"/>
      <c r="B521" s="65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</row>
    <row r="522">
      <c r="A522" s="64"/>
      <c r="B522" s="65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</row>
    <row r="523">
      <c r="A523" s="64"/>
      <c r="B523" s="65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</row>
    <row r="524">
      <c r="A524" s="64"/>
      <c r="B524" s="65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</row>
    <row r="525">
      <c r="A525" s="64"/>
      <c r="B525" s="65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</row>
    <row r="526">
      <c r="A526" s="64"/>
      <c r="B526" s="65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</row>
    <row r="527">
      <c r="A527" s="64"/>
      <c r="B527" s="65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</row>
    <row r="528">
      <c r="A528" s="64"/>
      <c r="B528" s="65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</row>
    <row r="529">
      <c r="A529" s="64"/>
      <c r="B529" s="65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</row>
    <row r="530">
      <c r="A530" s="64"/>
      <c r="B530" s="65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</row>
    <row r="531">
      <c r="A531" s="64"/>
      <c r="B531" s="65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</row>
    <row r="532">
      <c r="A532" s="64"/>
      <c r="B532" s="65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</row>
    <row r="533">
      <c r="A533" s="64"/>
      <c r="B533" s="65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</row>
    <row r="534">
      <c r="A534" s="64"/>
      <c r="B534" s="65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</row>
    <row r="535">
      <c r="A535" s="64"/>
      <c r="B535" s="65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</row>
    <row r="536">
      <c r="A536" s="64"/>
      <c r="B536" s="65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</row>
    <row r="537">
      <c r="A537" s="64"/>
      <c r="B537" s="65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</row>
    <row r="538">
      <c r="A538" s="64"/>
      <c r="B538" s="65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</row>
    <row r="539">
      <c r="A539" s="64"/>
      <c r="B539" s="65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</row>
    <row r="540">
      <c r="A540" s="64"/>
      <c r="B540" s="65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</row>
    <row r="541">
      <c r="A541" s="64"/>
      <c r="B541" s="65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</row>
    <row r="542">
      <c r="A542" s="64"/>
      <c r="B542" s="65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</row>
    <row r="543">
      <c r="A543" s="64"/>
      <c r="B543" s="65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</row>
    <row r="544">
      <c r="A544" s="64"/>
      <c r="B544" s="65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</row>
    <row r="545">
      <c r="A545" s="64"/>
      <c r="B545" s="65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</row>
    <row r="546">
      <c r="A546" s="64"/>
      <c r="B546" s="65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</row>
    <row r="547">
      <c r="A547" s="64"/>
      <c r="B547" s="65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</row>
    <row r="548">
      <c r="A548" s="64"/>
      <c r="B548" s="65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</row>
    <row r="549">
      <c r="A549" s="64"/>
      <c r="B549" s="65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</row>
    <row r="550">
      <c r="A550" s="64"/>
      <c r="B550" s="65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</row>
    <row r="551">
      <c r="A551" s="64"/>
      <c r="B551" s="65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</row>
    <row r="552">
      <c r="A552" s="64"/>
      <c r="B552" s="65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</row>
    <row r="553">
      <c r="A553" s="64"/>
      <c r="B553" s="65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</row>
    <row r="554">
      <c r="A554" s="64"/>
      <c r="B554" s="65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</row>
    <row r="555">
      <c r="A555" s="64"/>
      <c r="B555" s="65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</row>
    <row r="556">
      <c r="A556" s="64"/>
      <c r="B556" s="65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</row>
    <row r="557">
      <c r="A557" s="64"/>
      <c r="B557" s="65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</row>
    <row r="558">
      <c r="A558" s="64"/>
      <c r="B558" s="65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</row>
    <row r="559">
      <c r="A559" s="64"/>
      <c r="B559" s="65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</row>
    <row r="560">
      <c r="A560" s="64"/>
      <c r="B560" s="65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</row>
    <row r="561">
      <c r="A561" s="64"/>
      <c r="B561" s="65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</row>
    <row r="562">
      <c r="A562" s="64"/>
      <c r="B562" s="65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</row>
    <row r="563">
      <c r="A563" s="64"/>
      <c r="B563" s="65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</row>
    <row r="564">
      <c r="A564" s="64"/>
      <c r="B564" s="65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</row>
    <row r="565">
      <c r="A565" s="64"/>
      <c r="B565" s="65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</row>
    <row r="566">
      <c r="A566" s="64"/>
      <c r="B566" s="65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</row>
    <row r="567">
      <c r="A567" s="64"/>
      <c r="B567" s="65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</row>
    <row r="568">
      <c r="A568" s="64"/>
      <c r="B568" s="65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</row>
    <row r="569">
      <c r="A569" s="64"/>
      <c r="B569" s="65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</row>
    <row r="570">
      <c r="A570" s="64"/>
      <c r="B570" s="65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</row>
    <row r="571">
      <c r="A571" s="64"/>
      <c r="B571" s="65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</row>
    <row r="572">
      <c r="A572" s="64"/>
      <c r="B572" s="65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</row>
    <row r="573">
      <c r="A573" s="64"/>
      <c r="B573" s="65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</row>
    <row r="574">
      <c r="A574" s="64"/>
      <c r="B574" s="65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</row>
    <row r="575">
      <c r="A575" s="64"/>
      <c r="B575" s="65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</row>
    <row r="576">
      <c r="A576" s="64"/>
      <c r="B576" s="65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</row>
    <row r="577">
      <c r="A577" s="64"/>
      <c r="B577" s="65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</row>
    <row r="578">
      <c r="A578" s="64"/>
      <c r="B578" s="65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</row>
    <row r="579">
      <c r="A579" s="64"/>
      <c r="B579" s="65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</row>
    <row r="580">
      <c r="A580" s="64"/>
      <c r="B580" s="65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</row>
    <row r="581">
      <c r="A581" s="64"/>
      <c r="B581" s="65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</row>
    <row r="582">
      <c r="A582" s="64"/>
      <c r="B582" s="65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</row>
    <row r="583">
      <c r="A583" s="64"/>
      <c r="B583" s="65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</row>
    <row r="584">
      <c r="A584" s="64"/>
      <c r="B584" s="65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</row>
    <row r="585">
      <c r="A585" s="64"/>
      <c r="B585" s="65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</row>
    <row r="586">
      <c r="A586" s="64"/>
      <c r="B586" s="65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</row>
    <row r="587">
      <c r="A587" s="64"/>
      <c r="B587" s="65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</row>
    <row r="588">
      <c r="A588" s="64"/>
      <c r="B588" s="65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</row>
    <row r="589">
      <c r="A589" s="64"/>
      <c r="B589" s="65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</row>
    <row r="590">
      <c r="A590" s="64"/>
      <c r="B590" s="65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</row>
    <row r="591">
      <c r="A591" s="64"/>
      <c r="B591" s="65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</row>
    <row r="592">
      <c r="A592" s="64"/>
      <c r="B592" s="65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</row>
    <row r="593">
      <c r="A593" s="64"/>
      <c r="B593" s="65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</row>
    <row r="594">
      <c r="A594" s="64"/>
      <c r="B594" s="65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</row>
    <row r="595">
      <c r="A595" s="64"/>
      <c r="B595" s="65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</row>
    <row r="596">
      <c r="A596" s="64"/>
      <c r="B596" s="65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</row>
    <row r="597">
      <c r="A597" s="64"/>
      <c r="B597" s="65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</row>
    <row r="598">
      <c r="A598" s="64"/>
      <c r="B598" s="65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</row>
    <row r="599">
      <c r="A599" s="64"/>
      <c r="B599" s="65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</row>
    <row r="600">
      <c r="A600" s="64"/>
      <c r="B600" s="65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</row>
    <row r="601">
      <c r="A601" s="64"/>
      <c r="B601" s="65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</row>
    <row r="602">
      <c r="A602" s="64"/>
      <c r="B602" s="65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</row>
    <row r="603">
      <c r="A603" s="64"/>
      <c r="B603" s="65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</row>
    <row r="604">
      <c r="A604" s="64"/>
      <c r="B604" s="65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</row>
    <row r="605">
      <c r="A605" s="64"/>
      <c r="B605" s="65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</row>
    <row r="606">
      <c r="A606" s="64"/>
      <c r="B606" s="65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</row>
    <row r="607">
      <c r="A607" s="64"/>
      <c r="B607" s="65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</row>
    <row r="608">
      <c r="A608" s="64"/>
      <c r="B608" s="65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</row>
    <row r="609">
      <c r="A609" s="64"/>
      <c r="B609" s="65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</row>
    <row r="610">
      <c r="A610" s="64"/>
      <c r="B610" s="65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</row>
    <row r="611">
      <c r="A611" s="64"/>
      <c r="B611" s="65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</row>
    <row r="612">
      <c r="A612" s="64"/>
      <c r="B612" s="65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</row>
    <row r="613">
      <c r="A613" s="64"/>
      <c r="B613" s="65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</row>
    <row r="614">
      <c r="A614" s="64"/>
      <c r="B614" s="65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</row>
    <row r="615">
      <c r="A615" s="64"/>
      <c r="B615" s="65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</row>
    <row r="616">
      <c r="A616" s="64"/>
      <c r="B616" s="65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</row>
    <row r="617">
      <c r="A617" s="64"/>
      <c r="B617" s="65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</row>
    <row r="618">
      <c r="A618" s="64"/>
      <c r="B618" s="65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</row>
    <row r="619">
      <c r="A619" s="64"/>
      <c r="B619" s="65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</row>
    <row r="620">
      <c r="A620" s="64"/>
      <c r="B620" s="65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</row>
    <row r="621">
      <c r="A621" s="64"/>
      <c r="B621" s="65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</row>
    <row r="622">
      <c r="A622" s="64"/>
      <c r="B622" s="65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</row>
    <row r="623">
      <c r="A623" s="64"/>
      <c r="B623" s="65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</row>
    <row r="624">
      <c r="A624" s="64"/>
      <c r="B624" s="65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</row>
    <row r="625">
      <c r="A625" s="64"/>
      <c r="B625" s="65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</row>
    <row r="626">
      <c r="A626" s="64"/>
      <c r="B626" s="65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</row>
    <row r="627">
      <c r="A627" s="64"/>
      <c r="B627" s="65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</row>
    <row r="628">
      <c r="A628" s="64"/>
      <c r="B628" s="65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</row>
    <row r="629">
      <c r="A629" s="64"/>
      <c r="B629" s="65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</row>
    <row r="630">
      <c r="A630" s="64"/>
      <c r="B630" s="65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</row>
    <row r="631">
      <c r="A631" s="64"/>
      <c r="B631" s="65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</row>
    <row r="632">
      <c r="A632" s="64"/>
      <c r="B632" s="65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</row>
    <row r="633">
      <c r="A633" s="64"/>
      <c r="B633" s="65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</row>
    <row r="634">
      <c r="A634" s="64"/>
      <c r="B634" s="65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</row>
    <row r="635">
      <c r="A635" s="64"/>
      <c r="B635" s="65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</row>
    <row r="636">
      <c r="A636" s="64"/>
      <c r="B636" s="65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</row>
    <row r="637">
      <c r="A637" s="64"/>
      <c r="B637" s="65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</row>
    <row r="638">
      <c r="A638" s="64"/>
      <c r="B638" s="65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</row>
    <row r="639">
      <c r="A639" s="64"/>
      <c r="B639" s="65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</row>
    <row r="640">
      <c r="A640" s="64"/>
      <c r="B640" s="65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</row>
    <row r="641">
      <c r="A641" s="64"/>
      <c r="B641" s="65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</row>
    <row r="642">
      <c r="A642" s="64"/>
      <c r="B642" s="65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</row>
    <row r="643">
      <c r="A643" s="64"/>
      <c r="B643" s="65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</row>
    <row r="644">
      <c r="A644" s="64"/>
      <c r="B644" s="65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</row>
    <row r="645">
      <c r="A645" s="64"/>
      <c r="B645" s="65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</row>
    <row r="646">
      <c r="A646" s="64"/>
      <c r="B646" s="65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</row>
    <row r="647">
      <c r="A647" s="64"/>
      <c r="B647" s="65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</row>
    <row r="648">
      <c r="A648" s="64"/>
      <c r="B648" s="65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</row>
    <row r="649">
      <c r="A649" s="64"/>
      <c r="B649" s="65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</row>
    <row r="650">
      <c r="A650" s="64"/>
      <c r="B650" s="65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</row>
    <row r="651">
      <c r="A651" s="64"/>
      <c r="B651" s="65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</row>
    <row r="652">
      <c r="A652" s="64"/>
      <c r="B652" s="65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</row>
    <row r="653">
      <c r="A653" s="64"/>
      <c r="B653" s="65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</row>
    <row r="654">
      <c r="A654" s="64"/>
      <c r="B654" s="65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</row>
    <row r="655">
      <c r="A655" s="64"/>
      <c r="B655" s="65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</row>
    <row r="656">
      <c r="A656" s="64"/>
      <c r="B656" s="65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</row>
    <row r="657">
      <c r="A657" s="64"/>
      <c r="B657" s="65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</row>
    <row r="658">
      <c r="A658" s="64"/>
      <c r="B658" s="65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</row>
    <row r="659">
      <c r="A659" s="64"/>
      <c r="B659" s="65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</row>
    <row r="660">
      <c r="A660" s="64"/>
      <c r="B660" s="65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</row>
    <row r="661">
      <c r="A661" s="64"/>
      <c r="B661" s="65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</row>
    <row r="662">
      <c r="A662" s="64"/>
      <c r="B662" s="65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</row>
    <row r="663">
      <c r="A663" s="64"/>
      <c r="B663" s="65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</row>
    <row r="664">
      <c r="A664" s="64"/>
      <c r="B664" s="65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</row>
    <row r="665">
      <c r="A665" s="64"/>
      <c r="B665" s="65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</row>
    <row r="666">
      <c r="A666" s="64"/>
      <c r="B666" s="65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</row>
    <row r="667">
      <c r="A667" s="64"/>
      <c r="B667" s="65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</row>
    <row r="668">
      <c r="A668" s="64"/>
      <c r="B668" s="65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</row>
    <row r="669">
      <c r="A669" s="64"/>
      <c r="B669" s="65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</row>
    <row r="670">
      <c r="A670" s="64"/>
      <c r="B670" s="65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</row>
    <row r="671">
      <c r="A671" s="64"/>
      <c r="B671" s="65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</row>
    <row r="672">
      <c r="A672" s="64"/>
      <c r="B672" s="65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</row>
    <row r="673">
      <c r="A673" s="64"/>
      <c r="B673" s="65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</row>
    <row r="674">
      <c r="A674" s="64"/>
      <c r="B674" s="65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</row>
    <row r="675">
      <c r="A675" s="64"/>
      <c r="B675" s="65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</row>
    <row r="676">
      <c r="A676" s="64"/>
      <c r="B676" s="65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</row>
    <row r="677">
      <c r="A677" s="64"/>
      <c r="B677" s="65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</row>
    <row r="678">
      <c r="A678" s="64"/>
      <c r="B678" s="65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</row>
    <row r="679">
      <c r="A679" s="64"/>
      <c r="B679" s="65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</row>
    <row r="680">
      <c r="A680" s="64"/>
      <c r="B680" s="65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</row>
    <row r="681">
      <c r="A681" s="64"/>
      <c r="B681" s="65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</row>
    <row r="682">
      <c r="A682" s="64"/>
      <c r="B682" s="65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</row>
    <row r="683">
      <c r="A683" s="64"/>
      <c r="B683" s="65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</row>
    <row r="684">
      <c r="A684" s="64"/>
      <c r="B684" s="65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</row>
    <row r="685">
      <c r="A685" s="64"/>
      <c r="B685" s="65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</row>
    <row r="686">
      <c r="A686" s="64"/>
      <c r="B686" s="65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</row>
    <row r="687">
      <c r="A687" s="64"/>
      <c r="B687" s="65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</row>
    <row r="688">
      <c r="A688" s="64"/>
      <c r="B688" s="65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</row>
    <row r="689">
      <c r="A689" s="64"/>
      <c r="B689" s="65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</row>
    <row r="690">
      <c r="A690" s="64"/>
      <c r="B690" s="65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</row>
    <row r="691">
      <c r="A691" s="64"/>
      <c r="B691" s="65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</row>
    <row r="692">
      <c r="A692" s="64"/>
      <c r="B692" s="65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</row>
    <row r="693">
      <c r="A693" s="64"/>
      <c r="B693" s="65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</row>
    <row r="694">
      <c r="A694" s="64"/>
      <c r="B694" s="65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</row>
    <row r="695">
      <c r="A695" s="64"/>
      <c r="B695" s="65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</row>
    <row r="696">
      <c r="A696" s="64"/>
      <c r="B696" s="65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</row>
    <row r="697">
      <c r="A697" s="64"/>
      <c r="B697" s="65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</row>
    <row r="698">
      <c r="A698" s="64"/>
      <c r="B698" s="65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</row>
    <row r="699">
      <c r="A699" s="64"/>
      <c r="B699" s="65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</row>
    <row r="700">
      <c r="A700" s="64"/>
      <c r="B700" s="65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</row>
    <row r="701">
      <c r="A701" s="64"/>
      <c r="B701" s="65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</row>
    <row r="702">
      <c r="A702" s="64"/>
      <c r="B702" s="65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</row>
    <row r="703">
      <c r="A703" s="64"/>
      <c r="B703" s="65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</row>
    <row r="704">
      <c r="A704" s="64"/>
      <c r="B704" s="65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</row>
    <row r="705">
      <c r="A705" s="64"/>
      <c r="B705" s="65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</row>
    <row r="706">
      <c r="A706" s="64"/>
      <c r="B706" s="65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</row>
    <row r="707">
      <c r="A707" s="64"/>
      <c r="B707" s="65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</row>
    <row r="708">
      <c r="A708" s="64"/>
      <c r="B708" s="65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</row>
    <row r="709">
      <c r="A709" s="64"/>
      <c r="B709" s="65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</row>
    <row r="710">
      <c r="A710" s="64"/>
      <c r="B710" s="65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</row>
    <row r="711">
      <c r="A711" s="64"/>
      <c r="B711" s="65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</row>
    <row r="712">
      <c r="A712" s="64"/>
      <c r="B712" s="65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</row>
    <row r="713">
      <c r="A713" s="64"/>
      <c r="B713" s="65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</row>
    <row r="714">
      <c r="A714" s="64"/>
      <c r="B714" s="65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</row>
    <row r="715">
      <c r="A715" s="64"/>
      <c r="B715" s="65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</row>
    <row r="716">
      <c r="A716" s="64"/>
      <c r="B716" s="65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</row>
    <row r="717">
      <c r="A717" s="64"/>
      <c r="B717" s="65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</row>
    <row r="718">
      <c r="A718" s="64"/>
      <c r="B718" s="65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</row>
    <row r="719">
      <c r="A719" s="64"/>
      <c r="B719" s="65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</row>
    <row r="720">
      <c r="A720" s="64"/>
      <c r="B720" s="65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</row>
    <row r="721">
      <c r="A721" s="64"/>
      <c r="B721" s="65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</row>
    <row r="722">
      <c r="A722" s="64"/>
      <c r="B722" s="65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</row>
    <row r="723">
      <c r="A723" s="64"/>
      <c r="B723" s="65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</row>
    <row r="724">
      <c r="A724" s="64"/>
      <c r="B724" s="65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</row>
    <row r="725">
      <c r="A725" s="64"/>
      <c r="B725" s="65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</row>
    <row r="726">
      <c r="A726" s="64"/>
      <c r="B726" s="65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</row>
    <row r="727">
      <c r="A727" s="64"/>
      <c r="B727" s="65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</row>
    <row r="728">
      <c r="A728" s="64"/>
      <c r="B728" s="65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</row>
    <row r="729">
      <c r="A729" s="64"/>
      <c r="B729" s="65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</row>
    <row r="730">
      <c r="A730" s="64"/>
      <c r="B730" s="65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</row>
    <row r="731">
      <c r="A731" s="64"/>
      <c r="B731" s="65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</row>
    <row r="732">
      <c r="A732" s="64"/>
      <c r="B732" s="65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</row>
    <row r="733">
      <c r="A733" s="64"/>
      <c r="B733" s="65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</row>
    <row r="734">
      <c r="A734" s="64"/>
      <c r="B734" s="65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</row>
    <row r="735">
      <c r="A735" s="64"/>
      <c r="B735" s="65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</row>
    <row r="736">
      <c r="A736" s="64"/>
      <c r="B736" s="65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</row>
    <row r="737">
      <c r="A737" s="64"/>
      <c r="B737" s="65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</row>
    <row r="738">
      <c r="A738" s="64"/>
      <c r="B738" s="65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</row>
    <row r="739">
      <c r="A739" s="64"/>
      <c r="B739" s="65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</row>
    <row r="740">
      <c r="A740" s="64"/>
      <c r="B740" s="65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</row>
    <row r="741">
      <c r="A741" s="64"/>
      <c r="B741" s="65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</row>
    <row r="742">
      <c r="A742" s="64"/>
      <c r="B742" s="65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</row>
    <row r="743">
      <c r="A743" s="64"/>
      <c r="B743" s="65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</row>
    <row r="744">
      <c r="A744" s="64"/>
      <c r="B744" s="65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</row>
    <row r="745">
      <c r="A745" s="64"/>
      <c r="B745" s="65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</row>
    <row r="746">
      <c r="A746" s="64"/>
      <c r="B746" s="65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</row>
    <row r="747">
      <c r="A747" s="64"/>
      <c r="B747" s="65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</row>
    <row r="748">
      <c r="A748" s="64"/>
      <c r="B748" s="65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</row>
    <row r="749">
      <c r="A749" s="64"/>
      <c r="B749" s="65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</row>
    <row r="750">
      <c r="A750" s="64"/>
      <c r="B750" s="65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</row>
    <row r="751">
      <c r="A751" s="64"/>
      <c r="B751" s="65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</row>
    <row r="752">
      <c r="A752" s="64"/>
      <c r="B752" s="65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</row>
    <row r="753">
      <c r="A753" s="64"/>
      <c r="B753" s="65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</row>
    <row r="754">
      <c r="A754" s="64"/>
      <c r="B754" s="65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</row>
    <row r="755">
      <c r="A755" s="64"/>
      <c r="B755" s="65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</row>
    <row r="756">
      <c r="A756" s="64"/>
      <c r="B756" s="65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</row>
    <row r="757">
      <c r="A757" s="64"/>
      <c r="B757" s="65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</row>
    <row r="758">
      <c r="A758" s="64"/>
      <c r="B758" s="65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</row>
    <row r="759">
      <c r="A759" s="64"/>
      <c r="B759" s="65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</row>
    <row r="760">
      <c r="A760" s="64"/>
      <c r="B760" s="65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</row>
    <row r="761">
      <c r="A761" s="64"/>
      <c r="B761" s="65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</row>
    <row r="762">
      <c r="A762" s="64"/>
      <c r="B762" s="65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</row>
    <row r="763">
      <c r="A763" s="64"/>
      <c r="B763" s="65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</row>
    <row r="764">
      <c r="A764" s="64"/>
      <c r="B764" s="65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</row>
    <row r="765">
      <c r="A765" s="64"/>
      <c r="B765" s="65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</row>
    <row r="766">
      <c r="A766" s="64"/>
      <c r="B766" s="65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</row>
    <row r="767">
      <c r="A767" s="64"/>
      <c r="B767" s="65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</row>
    <row r="768">
      <c r="A768" s="64"/>
      <c r="B768" s="65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</row>
    <row r="769">
      <c r="A769" s="64"/>
      <c r="B769" s="65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</row>
    <row r="770">
      <c r="A770" s="64"/>
      <c r="B770" s="65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</row>
    <row r="771">
      <c r="A771" s="64"/>
      <c r="B771" s="65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</row>
    <row r="772">
      <c r="A772" s="64"/>
      <c r="B772" s="65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</row>
    <row r="773">
      <c r="A773" s="64"/>
      <c r="B773" s="65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</row>
    <row r="774">
      <c r="A774" s="64"/>
      <c r="B774" s="65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</row>
    <row r="775">
      <c r="A775" s="64"/>
      <c r="B775" s="65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</row>
    <row r="776">
      <c r="A776" s="64"/>
      <c r="B776" s="65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</row>
    <row r="777">
      <c r="A777" s="64"/>
      <c r="B777" s="65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</row>
    <row r="778">
      <c r="A778" s="64"/>
      <c r="B778" s="65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</row>
    <row r="779">
      <c r="A779" s="64"/>
      <c r="B779" s="65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</row>
    <row r="780">
      <c r="A780" s="64"/>
      <c r="B780" s="65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</row>
    <row r="781">
      <c r="A781" s="64"/>
      <c r="B781" s="65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</row>
    <row r="782">
      <c r="A782" s="64"/>
      <c r="B782" s="65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</row>
    <row r="783">
      <c r="A783" s="64"/>
      <c r="B783" s="65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</row>
    <row r="784">
      <c r="A784" s="64"/>
      <c r="B784" s="65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</row>
    <row r="785">
      <c r="A785" s="64"/>
      <c r="B785" s="65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</row>
    <row r="786">
      <c r="A786" s="64"/>
      <c r="B786" s="65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</row>
    <row r="787">
      <c r="A787" s="64"/>
      <c r="B787" s="65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</row>
    <row r="788">
      <c r="A788" s="64"/>
      <c r="B788" s="65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</row>
    <row r="789">
      <c r="A789" s="64"/>
      <c r="B789" s="65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</row>
    <row r="790">
      <c r="A790" s="64"/>
      <c r="B790" s="65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</row>
    <row r="791">
      <c r="A791" s="64"/>
      <c r="B791" s="65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</row>
    <row r="792">
      <c r="A792" s="64"/>
      <c r="B792" s="65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</row>
    <row r="793">
      <c r="A793" s="64"/>
      <c r="B793" s="65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</row>
    <row r="794">
      <c r="A794" s="64"/>
      <c r="B794" s="65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</row>
    <row r="795">
      <c r="A795" s="64"/>
      <c r="B795" s="65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</row>
    <row r="796">
      <c r="A796" s="64"/>
      <c r="B796" s="65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</row>
    <row r="797">
      <c r="A797" s="64"/>
      <c r="B797" s="65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</row>
    <row r="798">
      <c r="A798" s="64"/>
      <c r="B798" s="65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</row>
    <row r="799">
      <c r="A799" s="64"/>
      <c r="B799" s="65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</row>
    <row r="800">
      <c r="A800" s="64"/>
      <c r="B800" s="65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</row>
    <row r="801">
      <c r="A801" s="64"/>
      <c r="B801" s="65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</row>
    <row r="802">
      <c r="A802" s="64"/>
      <c r="B802" s="65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</row>
    <row r="803">
      <c r="A803" s="64"/>
      <c r="B803" s="65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</row>
    <row r="804">
      <c r="A804" s="64"/>
      <c r="B804" s="65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</row>
    <row r="805">
      <c r="A805" s="64"/>
      <c r="B805" s="65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</row>
    <row r="806">
      <c r="A806" s="64"/>
      <c r="B806" s="65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</row>
    <row r="807">
      <c r="A807" s="64"/>
      <c r="B807" s="65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</row>
    <row r="808">
      <c r="A808" s="64"/>
      <c r="B808" s="65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</row>
    <row r="809">
      <c r="A809" s="64"/>
      <c r="B809" s="65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</row>
    <row r="810">
      <c r="A810" s="64"/>
      <c r="B810" s="65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</row>
    <row r="811">
      <c r="A811" s="64"/>
      <c r="B811" s="65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</row>
    <row r="812">
      <c r="A812" s="64"/>
      <c r="B812" s="65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</row>
    <row r="813">
      <c r="A813" s="64"/>
      <c r="B813" s="65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</row>
    <row r="814">
      <c r="A814" s="64"/>
      <c r="B814" s="65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</row>
    <row r="815">
      <c r="A815" s="64"/>
      <c r="B815" s="65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</row>
    <row r="816">
      <c r="A816" s="64"/>
      <c r="B816" s="65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</row>
    <row r="817">
      <c r="A817" s="64"/>
      <c r="B817" s="65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</row>
    <row r="818">
      <c r="A818" s="64"/>
      <c r="B818" s="65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</row>
    <row r="819">
      <c r="A819" s="64"/>
      <c r="B819" s="65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</row>
    <row r="820">
      <c r="A820" s="64"/>
      <c r="B820" s="65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</row>
    <row r="821">
      <c r="A821" s="64"/>
      <c r="B821" s="65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</row>
    <row r="822">
      <c r="A822" s="64"/>
      <c r="B822" s="65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</row>
    <row r="823">
      <c r="A823" s="64"/>
      <c r="B823" s="65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</row>
    <row r="824">
      <c r="A824" s="64"/>
      <c r="B824" s="65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</row>
    <row r="825">
      <c r="A825" s="64"/>
      <c r="B825" s="65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</row>
    <row r="826">
      <c r="A826" s="64"/>
      <c r="B826" s="65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</row>
    <row r="827">
      <c r="A827" s="64"/>
      <c r="B827" s="65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</row>
    <row r="828">
      <c r="A828" s="64"/>
      <c r="B828" s="65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</row>
    <row r="829">
      <c r="A829" s="64"/>
      <c r="B829" s="65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</row>
    <row r="830">
      <c r="A830" s="64"/>
      <c r="B830" s="65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</row>
    <row r="831">
      <c r="A831" s="64"/>
      <c r="B831" s="65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</row>
    <row r="832">
      <c r="A832" s="64"/>
      <c r="B832" s="65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</row>
    <row r="833">
      <c r="A833" s="64"/>
      <c r="B833" s="65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</row>
    <row r="834">
      <c r="A834" s="64"/>
      <c r="B834" s="65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</row>
    <row r="835">
      <c r="A835" s="64"/>
      <c r="B835" s="65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</row>
    <row r="836">
      <c r="A836" s="64"/>
      <c r="B836" s="65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</row>
    <row r="837">
      <c r="A837" s="64"/>
      <c r="B837" s="65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</row>
    <row r="838">
      <c r="A838" s="64"/>
      <c r="B838" s="65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</row>
    <row r="839">
      <c r="A839" s="64"/>
      <c r="B839" s="65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</row>
    <row r="840">
      <c r="A840" s="64"/>
      <c r="B840" s="65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</row>
    <row r="841">
      <c r="A841" s="64"/>
      <c r="B841" s="65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</row>
    <row r="842">
      <c r="A842" s="64"/>
      <c r="B842" s="65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</row>
    <row r="843">
      <c r="A843" s="64"/>
      <c r="B843" s="65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</row>
    <row r="844">
      <c r="A844" s="64"/>
      <c r="B844" s="65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</row>
    <row r="845">
      <c r="A845" s="64"/>
      <c r="B845" s="65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</row>
    <row r="846">
      <c r="A846" s="64"/>
      <c r="B846" s="65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</row>
    <row r="847">
      <c r="A847" s="64"/>
      <c r="B847" s="65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</row>
    <row r="848">
      <c r="A848" s="64"/>
      <c r="B848" s="65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</row>
    <row r="849">
      <c r="A849" s="64"/>
      <c r="B849" s="65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</row>
    <row r="850">
      <c r="A850" s="64"/>
      <c r="B850" s="65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</row>
    <row r="851">
      <c r="A851" s="64"/>
      <c r="B851" s="65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</row>
    <row r="852">
      <c r="A852" s="64"/>
      <c r="B852" s="65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</row>
    <row r="853">
      <c r="A853" s="64"/>
      <c r="B853" s="65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</row>
    <row r="854">
      <c r="A854" s="64"/>
      <c r="B854" s="65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</row>
    <row r="855">
      <c r="A855" s="64"/>
      <c r="B855" s="65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</row>
    <row r="856">
      <c r="A856" s="64"/>
      <c r="B856" s="65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</row>
    <row r="857">
      <c r="A857" s="64"/>
      <c r="B857" s="65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</row>
    <row r="858">
      <c r="A858" s="64"/>
      <c r="B858" s="65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</row>
    <row r="859">
      <c r="A859" s="64"/>
      <c r="B859" s="65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</row>
    <row r="860">
      <c r="A860" s="64"/>
      <c r="B860" s="65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</row>
    <row r="861">
      <c r="A861" s="64"/>
      <c r="B861" s="65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</row>
    <row r="862">
      <c r="A862" s="64"/>
      <c r="B862" s="65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</row>
    <row r="863">
      <c r="A863" s="64"/>
      <c r="B863" s="65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</row>
    <row r="864">
      <c r="A864" s="64"/>
      <c r="B864" s="65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</row>
    <row r="865">
      <c r="A865" s="64"/>
      <c r="B865" s="65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</row>
    <row r="866">
      <c r="A866" s="64"/>
      <c r="B866" s="65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</row>
    <row r="867">
      <c r="A867" s="64"/>
      <c r="B867" s="65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</row>
    <row r="868">
      <c r="A868" s="64"/>
      <c r="B868" s="65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</row>
    <row r="869">
      <c r="A869" s="64"/>
      <c r="B869" s="65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</row>
    <row r="870">
      <c r="A870" s="64"/>
      <c r="B870" s="65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</row>
    <row r="871">
      <c r="A871" s="64"/>
      <c r="B871" s="65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</row>
    <row r="872">
      <c r="A872" s="64"/>
      <c r="B872" s="65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</row>
    <row r="873">
      <c r="A873" s="64"/>
      <c r="B873" s="65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</row>
    <row r="874">
      <c r="A874" s="64"/>
      <c r="B874" s="65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</row>
    <row r="875">
      <c r="A875" s="64"/>
      <c r="B875" s="65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</row>
    <row r="876">
      <c r="A876" s="64"/>
      <c r="B876" s="65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</row>
    <row r="877">
      <c r="A877" s="64"/>
      <c r="B877" s="65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</row>
    <row r="878">
      <c r="A878" s="64"/>
      <c r="B878" s="65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</row>
    <row r="879">
      <c r="A879" s="64"/>
      <c r="B879" s="65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</row>
    <row r="880">
      <c r="A880" s="64"/>
      <c r="B880" s="65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</row>
    <row r="881">
      <c r="A881" s="64"/>
      <c r="B881" s="65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</row>
    <row r="882">
      <c r="A882" s="64"/>
      <c r="B882" s="65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</row>
    <row r="883">
      <c r="A883" s="64"/>
      <c r="B883" s="65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</row>
    <row r="884">
      <c r="A884" s="64"/>
      <c r="B884" s="65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</row>
    <row r="885">
      <c r="A885" s="64"/>
      <c r="B885" s="65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</row>
    <row r="886">
      <c r="A886" s="64"/>
      <c r="B886" s="65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</row>
    <row r="887">
      <c r="A887" s="64"/>
      <c r="B887" s="65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</row>
    <row r="888">
      <c r="A888" s="64"/>
      <c r="B888" s="65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</row>
    <row r="889">
      <c r="A889" s="64"/>
      <c r="B889" s="65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</row>
    <row r="890">
      <c r="A890" s="64"/>
      <c r="B890" s="65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</row>
    <row r="891">
      <c r="A891" s="64"/>
      <c r="B891" s="65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</row>
    <row r="892">
      <c r="A892" s="64"/>
      <c r="B892" s="65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</row>
    <row r="893">
      <c r="A893" s="64"/>
      <c r="B893" s="65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</row>
    <row r="894">
      <c r="A894" s="64"/>
      <c r="B894" s="65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</row>
    <row r="895">
      <c r="A895" s="64"/>
      <c r="B895" s="65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</row>
    <row r="896">
      <c r="A896" s="64"/>
      <c r="B896" s="65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</row>
    <row r="897">
      <c r="A897" s="64"/>
      <c r="B897" s="65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</row>
    <row r="898">
      <c r="A898" s="64"/>
      <c r="B898" s="65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</row>
    <row r="899">
      <c r="A899" s="64"/>
      <c r="B899" s="65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</row>
    <row r="900">
      <c r="A900" s="64"/>
      <c r="B900" s="65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</row>
    <row r="901">
      <c r="A901" s="64"/>
      <c r="B901" s="65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</row>
    <row r="902">
      <c r="A902" s="64"/>
      <c r="B902" s="65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</row>
    <row r="903">
      <c r="A903" s="64"/>
      <c r="B903" s="65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</row>
    <row r="904">
      <c r="A904" s="64"/>
      <c r="B904" s="65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</row>
    <row r="905">
      <c r="A905" s="64"/>
      <c r="B905" s="65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</row>
    <row r="906">
      <c r="A906" s="64"/>
      <c r="B906" s="65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</row>
    <row r="907">
      <c r="A907" s="64"/>
      <c r="B907" s="65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</row>
    <row r="908">
      <c r="A908" s="64"/>
      <c r="B908" s="65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</row>
    <row r="909">
      <c r="A909" s="64"/>
      <c r="B909" s="65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</row>
    <row r="910">
      <c r="A910" s="64"/>
      <c r="B910" s="65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</row>
    <row r="911">
      <c r="A911" s="64"/>
      <c r="B911" s="65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</row>
    <row r="912">
      <c r="A912" s="64"/>
      <c r="B912" s="65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</row>
    <row r="913">
      <c r="A913" s="64"/>
      <c r="B913" s="65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</row>
    <row r="914">
      <c r="A914" s="64"/>
      <c r="B914" s="65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</row>
    <row r="915">
      <c r="A915" s="64"/>
      <c r="B915" s="65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</row>
    <row r="916">
      <c r="A916" s="64"/>
      <c r="B916" s="65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</row>
    <row r="917">
      <c r="A917" s="64"/>
      <c r="B917" s="65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</row>
    <row r="918">
      <c r="A918" s="64"/>
      <c r="B918" s="65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</row>
    <row r="919">
      <c r="A919" s="64"/>
      <c r="B919" s="65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</row>
    <row r="920">
      <c r="A920" s="64"/>
      <c r="B920" s="65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</row>
    <row r="921">
      <c r="A921" s="64"/>
      <c r="B921" s="65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</row>
    <row r="922">
      <c r="A922" s="64"/>
      <c r="B922" s="65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</row>
    <row r="923">
      <c r="A923" s="64"/>
      <c r="B923" s="65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</row>
    <row r="924">
      <c r="A924" s="64"/>
      <c r="B924" s="65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</row>
    <row r="925">
      <c r="A925" s="64"/>
      <c r="B925" s="65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</row>
    <row r="926">
      <c r="A926" s="64"/>
      <c r="B926" s="65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</row>
    <row r="927">
      <c r="A927" s="64"/>
      <c r="B927" s="65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</row>
    <row r="928">
      <c r="A928" s="64"/>
      <c r="B928" s="65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</row>
    <row r="929">
      <c r="A929" s="64"/>
      <c r="B929" s="65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</row>
    <row r="930">
      <c r="A930" s="64"/>
      <c r="B930" s="65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</row>
    <row r="931">
      <c r="A931" s="64"/>
      <c r="B931" s="65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</row>
    <row r="932">
      <c r="A932" s="64"/>
      <c r="B932" s="65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</row>
    <row r="933">
      <c r="A933" s="64"/>
      <c r="B933" s="65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</row>
    <row r="934">
      <c r="A934" s="64"/>
      <c r="B934" s="65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</row>
    <row r="935">
      <c r="A935" s="64"/>
      <c r="B935" s="65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</row>
    <row r="936">
      <c r="A936" s="64"/>
      <c r="B936" s="65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</row>
    <row r="937">
      <c r="A937" s="64"/>
      <c r="B937" s="65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</row>
    <row r="938">
      <c r="A938" s="64"/>
      <c r="B938" s="65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</row>
    <row r="939">
      <c r="A939" s="64"/>
      <c r="B939" s="65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</row>
    <row r="940">
      <c r="A940" s="64"/>
      <c r="B940" s="65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</row>
    <row r="941">
      <c r="A941" s="64"/>
      <c r="B941" s="65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</row>
    <row r="942">
      <c r="A942" s="64"/>
      <c r="B942" s="65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</row>
    <row r="943">
      <c r="A943" s="64"/>
      <c r="B943" s="65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</row>
    <row r="944">
      <c r="A944" s="64"/>
      <c r="B944" s="65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</row>
    <row r="945">
      <c r="A945" s="64"/>
      <c r="B945" s="65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</row>
    <row r="946">
      <c r="A946" s="64"/>
      <c r="B946" s="65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</row>
    <row r="947">
      <c r="A947" s="64"/>
      <c r="B947" s="65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</row>
    <row r="948">
      <c r="A948" s="64"/>
      <c r="B948" s="65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</row>
    <row r="949">
      <c r="A949" s="64"/>
      <c r="B949" s="65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</row>
    <row r="950">
      <c r="A950" s="64"/>
      <c r="B950" s="65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</row>
    <row r="951">
      <c r="A951" s="64"/>
      <c r="B951" s="65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</row>
    <row r="952">
      <c r="A952" s="64"/>
      <c r="B952" s="65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</row>
    <row r="953">
      <c r="A953" s="64"/>
      <c r="B953" s="65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</row>
    <row r="954">
      <c r="A954" s="64"/>
      <c r="B954" s="65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</row>
    <row r="955">
      <c r="A955" s="64"/>
      <c r="B955" s="65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</row>
    <row r="956">
      <c r="A956" s="64"/>
      <c r="B956" s="65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</row>
    <row r="957">
      <c r="A957" s="64"/>
      <c r="B957" s="65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</row>
    <row r="958">
      <c r="A958" s="64"/>
      <c r="B958" s="65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</row>
    <row r="959">
      <c r="A959" s="64"/>
      <c r="B959" s="65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</row>
    <row r="960">
      <c r="A960" s="64"/>
      <c r="B960" s="65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</row>
    <row r="961">
      <c r="A961" s="64"/>
      <c r="B961" s="65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</row>
    <row r="962">
      <c r="A962" s="64"/>
      <c r="B962" s="65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</row>
    <row r="963">
      <c r="A963" s="64"/>
      <c r="B963" s="65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</row>
    <row r="964">
      <c r="A964" s="64"/>
      <c r="B964" s="65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</row>
    <row r="965">
      <c r="A965" s="64"/>
      <c r="B965" s="65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</row>
    <row r="966">
      <c r="A966" s="64"/>
      <c r="B966" s="65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</row>
    <row r="967">
      <c r="A967" s="64"/>
      <c r="B967" s="65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</row>
    <row r="968">
      <c r="A968" s="64"/>
      <c r="B968" s="65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</row>
    <row r="969">
      <c r="A969" s="64"/>
      <c r="B969" s="65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</row>
    <row r="970">
      <c r="A970" s="64"/>
      <c r="B970" s="65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</row>
    <row r="971">
      <c r="A971" s="64"/>
      <c r="B971" s="65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</row>
    <row r="972">
      <c r="A972" s="64"/>
      <c r="B972" s="65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</row>
    <row r="973">
      <c r="A973" s="64"/>
      <c r="B973" s="65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</row>
    <row r="974">
      <c r="A974" s="64"/>
      <c r="B974" s="65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</row>
    <row r="975">
      <c r="A975" s="64"/>
      <c r="B975" s="65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</row>
    <row r="976">
      <c r="A976" s="64"/>
      <c r="B976" s="65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</row>
    <row r="977">
      <c r="A977" s="64"/>
      <c r="B977" s="65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</row>
    <row r="978">
      <c r="A978" s="64"/>
      <c r="B978" s="65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</row>
    <row r="979">
      <c r="A979" s="64"/>
      <c r="B979" s="65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</row>
    <row r="980">
      <c r="A980" s="64"/>
      <c r="B980" s="65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</row>
    <row r="981">
      <c r="A981" s="64"/>
      <c r="B981" s="65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</row>
    <row r="982">
      <c r="A982" s="64"/>
      <c r="B982" s="65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</row>
    <row r="983">
      <c r="A983" s="64"/>
      <c r="B983" s="65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</row>
    <row r="984">
      <c r="A984" s="64"/>
      <c r="B984" s="65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</row>
    <row r="985">
      <c r="A985" s="64"/>
      <c r="B985" s="65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</row>
    <row r="986">
      <c r="A986" s="64"/>
      <c r="B986" s="65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90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</row>
    <row r="987">
      <c r="A987" s="64"/>
      <c r="B987" s="65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90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</row>
    <row r="988">
      <c r="A988" s="64"/>
      <c r="B988" s="65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90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</row>
    <row r="989">
      <c r="A989" s="64"/>
      <c r="B989" s="65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90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</row>
    <row r="990">
      <c r="A990" s="64"/>
      <c r="B990" s="65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90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</row>
    <row r="991">
      <c r="A991" s="64"/>
      <c r="B991" s="65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90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</row>
    <row r="992">
      <c r="A992" s="64"/>
      <c r="B992" s="65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90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</row>
    <row r="993">
      <c r="A993" s="64"/>
      <c r="B993" s="65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90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</row>
    <row r="994">
      <c r="A994" s="64"/>
      <c r="B994" s="65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90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</row>
  </sheetData>
  <mergeCells count="13">
    <mergeCell ref="A1:A2"/>
    <mergeCell ref="A24:A25"/>
    <mergeCell ref="B24:E24"/>
    <mergeCell ref="F24:I24"/>
    <mergeCell ref="J24:M24"/>
    <mergeCell ref="N24:Q24"/>
    <mergeCell ref="B1:E1"/>
    <mergeCell ref="F1:I1"/>
    <mergeCell ref="J1:M1"/>
    <mergeCell ref="N1:Q1"/>
    <mergeCell ref="R1:U1"/>
    <mergeCell ref="V1:Y1"/>
    <mergeCell ref="Z1:AC1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13"/>
    <col customWidth="1" min="2" max="2" width="12.38"/>
  </cols>
  <sheetData>
    <row r="1">
      <c r="A1" s="91" t="s">
        <v>0</v>
      </c>
      <c r="B1" s="121" t="s">
        <v>1</v>
      </c>
      <c r="C1" s="3"/>
      <c r="D1" s="3"/>
      <c r="E1" s="4"/>
      <c r="F1" s="122" t="s">
        <v>2</v>
      </c>
      <c r="G1" s="3"/>
      <c r="H1" s="3"/>
      <c r="I1" s="4"/>
      <c r="J1" s="123" t="s">
        <v>3</v>
      </c>
      <c r="K1" s="3"/>
      <c r="L1" s="3"/>
      <c r="M1" s="4"/>
      <c r="N1" s="122" t="s">
        <v>4</v>
      </c>
      <c r="O1" s="3"/>
      <c r="P1" s="3"/>
      <c r="Q1" s="4"/>
      <c r="R1" s="122" t="s">
        <v>5</v>
      </c>
      <c r="S1" s="3"/>
      <c r="T1" s="3"/>
      <c r="U1" s="4"/>
      <c r="V1" s="122" t="s">
        <v>6</v>
      </c>
      <c r="W1" s="3"/>
      <c r="X1" s="3"/>
      <c r="Y1" s="4"/>
      <c r="Z1" s="122" t="s">
        <v>7</v>
      </c>
      <c r="AA1" s="3"/>
      <c r="AB1" s="3"/>
      <c r="AC1" s="4"/>
      <c r="AD1" s="97"/>
    </row>
    <row r="2">
      <c r="A2" s="7"/>
      <c r="B2" s="124">
        <v>2022.0</v>
      </c>
      <c r="C2" s="124">
        <v>2023.0</v>
      </c>
      <c r="D2" s="124">
        <v>2024.0</v>
      </c>
      <c r="E2" s="124">
        <v>2025.0</v>
      </c>
      <c r="F2" s="124">
        <v>2022.0</v>
      </c>
      <c r="G2" s="124">
        <v>2023.0</v>
      </c>
      <c r="H2" s="124">
        <v>2024.0</v>
      </c>
      <c r="I2" s="124">
        <v>2025.0</v>
      </c>
      <c r="J2" s="125">
        <v>2022.0</v>
      </c>
      <c r="K2" s="125">
        <v>2023.0</v>
      </c>
      <c r="L2" s="125">
        <v>2024.0</v>
      </c>
      <c r="M2" s="125" t="s">
        <v>8</v>
      </c>
      <c r="N2" s="124">
        <v>2022.0</v>
      </c>
      <c r="O2" s="124">
        <v>2023.0</v>
      </c>
      <c r="P2" s="124">
        <v>2024.0</v>
      </c>
      <c r="Q2" s="124" t="s">
        <v>9</v>
      </c>
      <c r="R2" s="124">
        <v>2022.0</v>
      </c>
      <c r="S2" s="124">
        <v>2023.0</v>
      </c>
      <c r="T2" s="124">
        <v>2024.0</v>
      </c>
      <c r="U2" s="124">
        <v>2025.0</v>
      </c>
      <c r="V2" s="124">
        <v>2022.0</v>
      </c>
      <c r="W2" s="124">
        <v>2023.0</v>
      </c>
      <c r="X2" s="124">
        <v>2024.0</v>
      </c>
      <c r="Y2" s="124">
        <v>2025.0</v>
      </c>
      <c r="Z2" s="124">
        <v>2022.0</v>
      </c>
      <c r="AA2" s="124">
        <v>2023.0</v>
      </c>
      <c r="AB2" s="124">
        <v>2024.0</v>
      </c>
      <c r="AC2" s="124">
        <v>2025.0</v>
      </c>
      <c r="AD2" s="97"/>
    </row>
    <row r="3">
      <c r="A3" s="93" t="s">
        <v>10</v>
      </c>
      <c r="B3" s="126">
        <f>'PDRB ADHB'!B3</f>
        <v>16525.78</v>
      </c>
      <c r="C3" s="126">
        <f>'PDRB ADHB'!C3</f>
        <v>18541.32</v>
      </c>
      <c r="D3" s="126">
        <f>'PDRB ADHB'!D3</f>
        <v>19266.67</v>
      </c>
      <c r="E3" s="126">
        <f>'PDRB ADHB'!E3</f>
        <v>21082.58</v>
      </c>
      <c r="F3" s="126">
        <f>'PDRB ADHB'!F3</f>
        <v>44050.68</v>
      </c>
      <c r="G3" s="126">
        <f>'PDRB ADHB'!G3</f>
        <v>46608.45</v>
      </c>
      <c r="H3" s="126">
        <f>'PDRB ADHB'!H3</f>
        <v>49367.5</v>
      </c>
      <c r="I3" s="126">
        <f>'PDRB ADHB'!I3</f>
        <v>55984.25</v>
      </c>
      <c r="J3" s="126">
        <f>'PDRB ADHB'!J3</f>
        <v>2530.73</v>
      </c>
      <c r="K3" s="126">
        <f>'PDRB ADHB'!K3</f>
        <v>2516.65</v>
      </c>
      <c r="L3" s="126">
        <f>'PDRB ADHB'!L3</f>
        <v>2762.53</v>
      </c>
      <c r="M3" s="126">
        <f>'PDRB ADHB'!M3</f>
        <v>2762.53</v>
      </c>
      <c r="N3" s="126">
        <f>'PDRB ADHB'!N3</f>
        <v>207716.66</v>
      </c>
      <c r="O3" s="126">
        <f>'PDRB ADHB'!O3</f>
        <v>221650.61</v>
      </c>
      <c r="P3" s="126">
        <f>'PDRB ADHB'!P3</f>
        <v>237631.6</v>
      </c>
      <c r="Q3" s="126">
        <f>'PDRB ADHB'!Q3</f>
        <v>267710.3</v>
      </c>
      <c r="R3" s="126">
        <f>'PDRB ADHB'!R3</f>
        <v>211490.54</v>
      </c>
      <c r="S3" s="126">
        <f>'PDRB ADHB'!S3</f>
        <v>224291.41</v>
      </c>
      <c r="T3" s="126">
        <f>'PDRB ADHB'!T3</f>
        <v>237348.86</v>
      </c>
      <c r="U3" s="126">
        <f>'PDRB ADHB'!U3</f>
        <v>253907.09</v>
      </c>
      <c r="V3" s="126">
        <f>'PDRB ADHB'!V3</f>
        <v>303510.39</v>
      </c>
      <c r="W3" s="126">
        <f>'PDRB ADHB'!W3</f>
        <v>326087.35</v>
      </c>
      <c r="X3" s="126">
        <f>'PDRB ADHB'!X3</f>
        <v>337697.52</v>
      </c>
      <c r="Y3" s="126">
        <f>'PDRB ADHB'!Y3</f>
        <v>365375.14</v>
      </c>
      <c r="Z3" s="126">
        <f>'PDRB ADHB'!Z3</f>
        <v>785824.78</v>
      </c>
      <c r="AA3" s="126">
        <f>'PDRB ADHB'!AA3</f>
        <v>839695.79</v>
      </c>
      <c r="AB3" s="126">
        <f>'PDRB ADHB'!AB3</f>
        <v>884074.68</v>
      </c>
      <c r="AC3" s="126">
        <f>'PDRB ADHB'!AC3</f>
        <v>966821.89</v>
      </c>
      <c r="AD3" s="97"/>
    </row>
    <row r="4">
      <c r="A4" s="94" t="s">
        <v>11</v>
      </c>
      <c r="B4" s="126">
        <f>'PDRB ADHB'!B4</f>
        <v>713.77</v>
      </c>
      <c r="C4" s="126">
        <f>'PDRB ADHB'!C4</f>
        <v>799.92</v>
      </c>
      <c r="D4" s="126">
        <f>'PDRB ADHB'!D4</f>
        <v>871.35</v>
      </c>
      <c r="E4" s="126">
        <f>'PDRB ADHB'!E4</f>
        <v>791.27</v>
      </c>
      <c r="F4" s="126">
        <f>'PDRB ADHB'!F4</f>
        <v>4142.46</v>
      </c>
      <c r="G4" s="126">
        <f>'PDRB ADHB'!G4</f>
        <v>3504.21</v>
      </c>
      <c r="H4" s="126">
        <f>'PDRB ADHB'!H4</f>
        <v>3321.9</v>
      </c>
      <c r="I4" s="126">
        <f>'PDRB ADHB'!I4</f>
        <v>3441.02</v>
      </c>
      <c r="J4" s="126">
        <f>'PDRB ADHB'!J4</f>
        <v>8031.15</v>
      </c>
      <c r="K4" s="126">
        <f>'PDRB ADHB'!K4</f>
        <v>6005.63</v>
      </c>
      <c r="L4" s="126">
        <f>'PDRB ADHB'!L4</f>
        <v>5717.42</v>
      </c>
      <c r="M4" s="126">
        <f>'PDRB ADHB'!M4</f>
        <v>5717.42</v>
      </c>
      <c r="N4" s="126">
        <f>'PDRB ADHB'!N4</f>
        <v>27934.5</v>
      </c>
      <c r="O4" s="126">
        <f>'PDRB ADHB'!O4</f>
        <v>26089.3</v>
      </c>
      <c r="P4" s="126">
        <f>'PDRB ADHB'!P4</f>
        <v>27360.32</v>
      </c>
      <c r="Q4" s="126">
        <f>'PDRB ADHB'!Q4</f>
        <v>27600.49</v>
      </c>
      <c r="R4" s="126">
        <f>'PDRB ADHB'!R4</f>
        <v>37723.92</v>
      </c>
      <c r="S4" s="126">
        <f>'PDRB ADHB'!S4</f>
        <v>38102.94</v>
      </c>
      <c r="T4" s="126">
        <f>'PDRB ADHB'!T4</f>
        <v>39211.8</v>
      </c>
      <c r="U4" s="126">
        <f>'PDRB ADHB'!U4</f>
        <v>40556.56</v>
      </c>
      <c r="V4" s="126">
        <f>'PDRB ADHB'!V4</f>
        <v>119698.47</v>
      </c>
      <c r="W4" s="126">
        <f>'PDRB ADHB'!W4</f>
        <v>112701.63</v>
      </c>
      <c r="X4" s="126">
        <f>'PDRB ADHB'!X4</f>
        <v>113344.46</v>
      </c>
      <c r="Y4" s="126">
        <f>'PDRB ADHB'!Y4</f>
        <v>113099.01</v>
      </c>
      <c r="Z4" s="126">
        <f>'PDRB ADHB'!Z4</f>
        <v>198244.27</v>
      </c>
      <c r="AA4" s="126">
        <f>'PDRB ADHB'!AA4</f>
        <v>187203.63</v>
      </c>
      <c r="AB4" s="126">
        <f>'PDRB ADHB'!AB4</f>
        <v>189827.25</v>
      </c>
      <c r="AC4" s="126">
        <f>'PDRB ADHB'!AC4</f>
        <v>191205.77</v>
      </c>
      <c r="AD4" s="97"/>
    </row>
    <row r="5">
      <c r="A5" s="94" t="s">
        <v>12</v>
      </c>
      <c r="B5" s="126">
        <f>'PDRB ADHB'!B5</f>
        <v>19775.46</v>
      </c>
      <c r="C5" s="126">
        <f>'PDRB ADHB'!C5</f>
        <v>21352.59</v>
      </c>
      <c r="D5" s="126">
        <f>'PDRB ADHB'!D5</f>
        <v>22927.55</v>
      </c>
      <c r="E5" s="126">
        <f>'PDRB ADHB'!E5</f>
        <v>24552.34</v>
      </c>
      <c r="F5" s="126">
        <f>'PDRB ADHB'!F5</f>
        <v>227665.58</v>
      </c>
      <c r="G5" s="126">
        <f>'PDRB ADHB'!G5</f>
        <v>246265.69</v>
      </c>
      <c r="H5" s="126">
        <f>'PDRB ADHB'!H5</f>
        <v>265140.7</v>
      </c>
      <c r="I5" s="126">
        <f>'PDRB ADHB'!I5</f>
        <v>285314.72</v>
      </c>
      <c r="J5" s="126">
        <f>'PDRB ADHB'!J5</f>
        <v>391219.26</v>
      </c>
      <c r="K5" s="126">
        <f>'PDRB ADHB'!K5</f>
        <v>408799.84</v>
      </c>
      <c r="L5" s="126">
        <f>'PDRB ADHB'!L5</f>
        <v>422940.32</v>
      </c>
      <c r="M5" s="126">
        <f>'PDRB ADHB'!M5</f>
        <v>422940.32</v>
      </c>
      <c r="N5" s="126">
        <f>'PDRB ADHB'!N5</f>
        <v>1023400.77</v>
      </c>
      <c r="O5" s="126">
        <f>'PDRB ADHB'!O5</f>
        <v>1099081.21</v>
      </c>
      <c r="P5" s="126">
        <f>'PDRB ADHB'!P5</f>
        <v>1168548.23</v>
      </c>
      <c r="Q5" s="126">
        <f>'PDRB ADHB'!Q5</f>
        <v>1227809</v>
      </c>
      <c r="R5" s="126">
        <f>'PDRB ADHB'!R5</f>
        <v>529181.82</v>
      </c>
      <c r="S5" s="126">
        <f>'PDRB ADHB'!S5</f>
        <v>576208.65</v>
      </c>
      <c r="T5" s="126">
        <f>'PDRB ADHB'!T5</f>
        <v>614658.98</v>
      </c>
      <c r="U5" s="126">
        <f>'PDRB ADHB'!U5</f>
        <v>648749.29</v>
      </c>
      <c r="V5" s="126">
        <f>'PDRB ADHB'!V5</f>
        <v>835393.31</v>
      </c>
      <c r="W5" s="126">
        <f>'PDRB ADHB'!W5</f>
        <v>901185.69</v>
      </c>
      <c r="X5" s="126">
        <f>'PDRB ADHB'!X5</f>
        <v>977507.54</v>
      </c>
      <c r="Y5" s="126">
        <f>'PDRB ADHB'!Y5</f>
        <v>1065685.79</v>
      </c>
      <c r="Z5" s="126">
        <f>'PDRB ADHB'!Z5</f>
        <v>3026636.2</v>
      </c>
      <c r="AA5" s="126">
        <f>'PDRB ADHB'!AA5</f>
        <v>3252893.67</v>
      </c>
      <c r="AB5" s="126">
        <f>'PDRB ADHB'!AB5</f>
        <v>3471723.32</v>
      </c>
      <c r="AC5" s="126">
        <f>'PDRB ADHB'!AC5</f>
        <v>3675051.46</v>
      </c>
      <c r="AD5" s="97"/>
    </row>
    <row r="6">
      <c r="A6" s="94" t="s">
        <v>13</v>
      </c>
      <c r="B6" s="126">
        <f>'PDRB ADHB'!B6</f>
        <v>223.58</v>
      </c>
      <c r="C6" s="126">
        <f>'PDRB ADHB'!C6</f>
        <v>250</v>
      </c>
      <c r="D6" s="126">
        <f>'PDRB ADHB'!D6</f>
        <v>277.56</v>
      </c>
      <c r="E6" s="126">
        <f>'PDRB ADHB'!E6</f>
        <v>292.22</v>
      </c>
      <c r="F6" s="126">
        <f>'PDRB ADHB'!F6</f>
        <v>13017.8</v>
      </c>
      <c r="G6" s="126">
        <f>'PDRB ADHB'!G6</f>
        <v>12785.13</v>
      </c>
      <c r="H6" s="126">
        <f>'PDRB ADHB'!H6</f>
        <v>10831.56</v>
      </c>
      <c r="I6" s="126">
        <f>'PDRB ADHB'!I6</f>
        <v>11372.92</v>
      </c>
      <c r="J6" s="126">
        <f>'PDRB ADHB'!J6</f>
        <v>7486.94</v>
      </c>
      <c r="K6" s="126">
        <f>'PDRB ADHB'!K6</f>
        <v>6878.99</v>
      </c>
      <c r="L6" s="126">
        <f>'PDRB ADHB'!L6</f>
        <v>5628.35</v>
      </c>
      <c r="M6" s="126">
        <f>'PDRB ADHB'!M6</f>
        <v>5628.35</v>
      </c>
      <c r="N6" s="126">
        <f>'PDRB ADHB'!N6</f>
        <v>12161.53</v>
      </c>
      <c r="O6" s="126">
        <f>'PDRB ADHB'!O6</f>
        <v>12221.17</v>
      </c>
      <c r="P6" s="126">
        <f>'PDRB ADHB'!P6</f>
        <v>12059.32</v>
      </c>
      <c r="Q6" s="126">
        <f>'PDRB ADHB'!Q6</f>
        <v>12551.2</v>
      </c>
      <c r="R6" s="126">
        <f>'PDRB ADHB'!R6</f>
        <v>1438</v>
      </c>
      <c r="S6" s="126">
        <f>'PDRB ADHB'!S6</f>
        <v>1556.85</v>
      </c>
      <c r="T6" s="126">
        <f>'PDRB ADHB'!T6</f>
        <v>1675.83</v>
      </c>
      <c r="U6" s="126">
        <f>'PDRB ADHB'!U6</f>
        <v>1752.77</v>
      </c>
      <c r="V6" s="126">
        <f>'PDRB ADHB'!V6</f>
        <v>8042.88</v>
      </c>
      <c r="W6" s="126">
        <f>'PDRB ADHB'!W6</f>
        <v>10374.52</v>
      </c>
      <c r="X6" s="126">
        <f>'PDRB ADHB'!X6</f>
        <v>11181.77</v>
      </c>
      <c r="Y6" s="126">
        <f>'PDRB ADHB'!Y6</f>
        <v>11981.83</v>
      </c>
      <c r="Z6" s="126">
        <f>'PDRB ADHB'!Z6</f>
        <v>42370.73</v>
      </c>
      <c r="AA6" s="126">
        <f>'PDRB ADHB'!AA6</f>
        <v>44066.66</v>
      </c>
      <c r="AB6" s="126">
        <f>'PDRB ADHB'!AB6</f>
        <v>41654.39</v>
      </c>
      <c r="AC6" s="126">
        <f>'PDRB ADHB'!AC6</f>
        <v>43579.29</v>
      </c>
      <c r="AD6" s="97"/>
    </row>
    <row r="7">
      <c r="A7" s="93" t="s">
        <v>14</v>
      </c>
      <c r="B7" s="126">
        <f>'PDRB ADHB'!B7</f>
        <v>162.57</v>
      </c>
      <c r="C7" s="126">
        <f>'PDRB ADHB'!C7</f>
        <v>171.98</v>
      </c>
      <c r="D7" s="126">
        <f>'PDRB ADHB'!D7</f>
        <v>174.22</v>
      </c>
      <c r="E7" s="126">
        <f>'PDRB ADHB'!E7</f>
        <v>174.28</v>
      </c>
      <c r="F7" s="126">
        <f>'PDRB ADHB'!F7</f>
        <v>612.68</v>
      </c>
      <c r="G7" s="126">
        <f>'PDRB ADHB'!G7</f>
        <v>652.28</v>
      </c>
      <c r="H7" s="126">
        <f>'PDRB ADHB'!H7</f>
        <v>718.35</v>
      </c>
      <c r="I7" s="126">
        <f>'PDRB ADHB'!I7</f>
        <v>769.82</v>
      </c>
      <c r="J7" s="126">
        <f>'PDRB ADHB'!J7</f>
        <v>984.18</v>
      </c>
      <c r="K7" s="126">
        <f>'PDRB ADHB'!K7</f>
        <v>1057.43</v>
      </c>
      <c r="L7" s="126">
        <f>'PDRB ADHB'!L7</f>
        <v>1121.37</v>
      </c>
      <c r="M7" s="126">
        <f>'PDRB ADHB'!M7</f>
        <v>1121.37</v>
      </c>
      <c r="N7" s="126">
        <f>'PDRB ADHB'!N7</f>
        <v>2485.54</v>
      </c>
      <c r="O7" s="126">
        <f>'PDRB ADHB'!O7</f>
        <v>2575.78</v>
      </c>
      <c r="P7" s="126">
        <f>'PDRB ADHB'!P7</f>
        <v>2872.12</v>
      </c>
      <c r="Q7" s="126">
        <f>'PDRB ADHB'!Q7</f>
        <v>3044.19</v>
      </c>
      <c r="R7" s="126">
        <f>'PDRB ADHB'!R7</f>
        <v>938.29</v>
      </c>
      <c r="S7" s="126">
        <f>'PDRB ADHB'!S7</f>
        <v>985.79</v>
      </c>
      <c r="T7" s="126">
        <f>'PDRB ADHB'!T7</f>
        <v>1066.34</v>
      </c>
      <c r="U7" s="126">
        <f>'PDRB ADHB'!U7</f>
        <v>1123.96</v>
      </c>
      <c r="V7" s="126">
        <f>'PDRB ADHB'!V7</f>
        <v>2443.2</v>
      </c>
      <c r="W7" s="126">
        <f>'PDRB ADHB'!W7</f>
        <v>2541.86</v>
      </c>
      <c r="X7" s="126">
        <f>'PDRB ADHB'!X7</f>
        <v>2626.96</v>
      </c>
      <c r="Y7" s="126">
        <f>'PDRB ADHB'!Y7</f>
        <v>2763.35</v>
      </c>
      <c r="Z7" s="126">
        <f>'PDRB ADHB'!Z7</f>
        <v>7626.46</v>
      </c>
      <c r="AA7" s="126">
        <f>'PDRB ADHB'!AA7</f>
        <v>7985.12</v>
      </c>
      <c r="AB7" s="126">
        <f>'PDRB ADHB'!AB7</f>
        <v>8579.36</v>
      </c>
      <c r="AC7" s="126">
        <f>'PDRB ADHB'!AC7</f>
        <v>8996.97</v>
      </c>
      <c r="AD7" s="97"/>
    </row>
    <row r="8">
      <c r="A8" s="94" t="s">
        <v>15</v>
      </c>
      <c r="B8" s="126">
        <f>'PDRB ADHB'!B8</f>
        <v>16440.15</v>
      </c>
      <c r="C8" s="126">
        <f>'PDRB ADHB'!C8</f>
        <v>17036.95</v>
      </c>
      <c r="D8" s="126">
        <f>'PDRB ADHB'!D8</f>
        <v>18627.62</v>
      </c>
      <c r="E8" s="126">
        <f>'PDRB ADHB'!E8</f>
        <v>20420.61</v>
      </c>
      <c r="F8" s="126">
        <f>'PDRB ADHB'!F8</f>
        <v>91184.67</v>
      </c>
      <c r="G8" s="126">
        <f>'PDRB ADHB'!G8</f>
        <v>95666.94</v>
      </c>
      <c r="H8" s="126">
        <f>'PDRB ADHB'!H8</f>
        <v>102165.15</v>
      </c>
      <c r="I8" s="126">
        <f>'PDRB ADHB'!I8</f>
        <v>110523.6</v>
      </c>
      <c r="J8" s="126">
        <f>'PDRB ADHB'!J8</f>
        <v>351920.99</v>
      </c>
      <c r="K8" s="126">
        <f>'PDRB ADHB'!K8</f>
        <v>372447.93</v>
      </c>
      <c r="L8" s="126">
        <f>'PDRB ADHB'!L8</f>
        <v>401305.8</v>
      </c>
      <c r="M8" s="126">
        <f>'PDRB ADHB'!M8</f>
        <v>401305.8</v>
      </c>
      <c r="N8" s="126">
        <f>'PDRB ADHB'!N8</f>
        <v>202276.62</v>
      </c>
      <c r="O8" s="126">
        <f>'PDRB ADHB'!O8</f>
        <v>221150.71</v>
      </c>
      <c r="P8" s="126">
        <f>'PDRB ADHB'!P8</f>
        <v>238500.79</v>
      </c>
      <c r="Q8" s="126">
        <f>'PDRB ADHB'!Q8</f>
        <v>253691.2</v>
      </c>
      <c r="R8" s="126">
        <f>'PDRB ADHB'!R8</f>
        <v>172199.81</v>
      </c>
      <c r="S8" s="126">
        <f>'PDRB ADHB'!S8</f>
        <v>190384.35</v>
      </c>
      <c r="T8" s="126">
        <f>'PDRB ADHB'!T8</f>
        <v>207039.33</v>
      </c>
      <c r="U8" s="126">
        <f>'PDRB ADHB'!U8</f>
        <v>222900.55</v>
      </c>
      <c r="V8" s="126">
        <f>'PDRB ADHB'!V8</f>
        <v>246876.37</v>
      </c>
      <c r="W8" s="126">
        <f>'PDRB ADHB'!W8</f>
        <v>263243.87</v>
      </c>
      <c r="X8" s="126">
        <f>'PDRB ADHB'!X8</f>
        <v>284121.28</v>
      </c>
      <c r="Y8" s="126">
        <f>'PDRB ADHB'!Y8</f>
        <v>299579.06</v>
      </c>
      <c r="Z8" s="126">
        <f>'PDRB ADHB'!Z8</f>
        <v>1080898.61</v>
      </c>
      <c r="AA8" s="126">
        <f>'PDRB ADHB'!AA8</f>
        <v>1159930.75</v>
      </c>
      <c r="AB8" s="126">
        <f>'PDRB ADHB'!AB8</f>
        <v>1251759.97</v>
      </c>
      <c r="AC8" s="126">
        <f>'PDRB ADHB'!AC8</f>
        <v>1308420.82</v>
      </c>
      <c r="AD8" s="97"/>
    </row>
    <row r="9">
      <c r="A9" s="94" t="s">
        <v>16</v>
      </c>
      <c r="B9" s="126">
        <f>'PDRB ADHB'!B9</f>
        <v>13677.56</v>
      </c>
      <c r="C9" s="126">
        <f>'PDRB ADHB'!C9</f>
        <v>14768.7</v>
      </c>
      <c r="D9" s="126">
        <f>'PDRB ADHB'!D9</f>
        <v>15623.23</v>
      </c>
      <c r="E9" s="126">
        <f>'PDRB ADHB'!E9</f>
        <v>16761.57</v>
      </c>
      <c r="F9" s="126">
        <f>'PDRB ADHB'!F9</f>
        <v>93547.29</v>
      </c>
      <c r="G9" s="126">
        <f>'PDRB ADHB'!G9</f>
        <v>101006.64</v>
      </c>
      <c r="H9" s="126">
        <f>'PDRB ADHB'!H9</f>
        <v>108163.85</v>
      </c>
      <c r="I9" s="126">
        <f>'PDRB ADHB'!I9</f>
        <v>115667.09</v>
      </c>
      <c r="J9" s="126">
        <f>'PDRB ADHB'!J9</f>
        <v>555567.92</v>
      </c>
      <c r="K9" s="126">
        <f>'PDRB ADHB'!K9</f>
        <v>608311.63</v>
      </c>
      <c r="L9" s="126">
        <f>'PDRB ADHB'!L9</f>
        <v>662471.32</v>
      </c>
      <c r="M9" s="126">
        <f>'PDRB ADHB'!M9</f>
        <v>662471.32</v>
      </c>
      <c r="N9" s="126">
        <f>'PDRB ADHB'!N9</f>
        <v>348996.55</v>
      </c>
      <c r="O9" s="126">
        <f>'PDRB ADHB'!O9</f>
        <v>378832.69</v>
      </c>
      <c r="P9" s="126">
        <f>'PDRB ADHB'!P9</f>
        <v>408257.19</v>
      </c>
      <c r="Q9" s="126">
        <f>'PDRB ADHB'!Q9</f>
        <v>438021.6</v>
      </c>
      <c r="R9" s="126">
        <f>'PDRB ADHB'!R9</f>
        <v>212208.01</v>
      </c>
      <c r="S9" s="126">
        <f>'PDRB ADHB'!S9</f>
        <v>230723.26</v>
      </c>
      <c r="T9" s="126">
        <f>'PDRB ADHB'!T9</f>
        <v>245140.47</v>
      </c>
      <c r="U9" s="126">
        <f>'PDRB ADHB'!U9</f>
        <v>262081.27</v>
      </c>
      <c r="V9" s="126">
        <f>'PDRB ADHB'!V9</f>
        <v>509889.56</v>
      </c>
      <c r="W9" s="126">
        <f>'PDRB ADHB'!W9</f>
        <v>558385.86</v>
      </c>
      <c r="X9" s="126">
        <f>'PDRB ADHB'!X9</f>
        <v>596083.66</v>
      </c>
      <c r="Y9" s="126">
        <f>'PDRB ADHB'!Y9</f>
        <v>631235.53</v>
      </c>
      <c r="Z9" s="126">
        <f>'PDRB ADHB'!Z9</f>
        <v>1733886.89</v>
      </c>
      <c r="AA9" s="126">
        <f>'PDRB ADHB'!AA9</f>
        <v>1892028.78</v>
      </c>
      <c r="AB9" s="126">
        <f>'PDRB ADHB'!AB9</f>
        <v>2035739.72</v>
      </c>
      <c r="AC9" s="126">
        <f>'PDRB ADHB'!AC9</f>
        <v>2126238.38</v>
      </c>
      <c r="AD9" s="97"/>
    </row>
    <row r="10">
      <c r="A10" s="94" t="s">
        <v>17</v>
      </c>
      <c r="B10" s="126">
        <f>'PDRB ADHB'!B10</f>
        <v>8483.54</v>
      </c>
      <c r="C10" s="126">
        <f>'PDRB ADHB'!C10</f>
        <v>10135.39</v>
      </c>
      <c r="D10" s="126">
        <f>'PDRB ADHB'!D10</f>
        <v>11282.92</v>
      </c>
      <c r="E10" s="126">
        <f>'PDRB ADHB'!E10</f>
        <v>11933.75</v>
      </c>
      <c r="F10" s="126">
        <f>'PDRB ADHB'!F10</f>
        <v>71161.82</v>
      </c>
      <c r="G10" s="126">
        <f>'PDRB ADHB'!G10</f>
        <v>90542.7</v>
      </c>
      <c r="H10" s="126">
        <f>'PDRB ADHB'!H10</f>
        <v>100200.91</v>
      </c>
      <c r="I10" s="126">
        <f>'PDRB ADHB'!I10</f>
        <v>103587.51</v>
      </c>
      <c r="J10" s="126">
        <f>'PDRB ADHB'!J10</f>
        <v>126971.27</v>
      </c>
      <c r="K10" s="126">
        <f>'PDRB ADHB'!K10</f>
        <v>151850.8</v>
      </c>
      <c r="L10" s="126">
        <f>'PDRB ADHB'!L10</f>
        <v>166936.1</v>
      </c>
      <c r="M10" s="126">
        <f>'PDRB ADHB'!M10</f>
        <v>166936.1</v>
      </c>
      <c r="N10" s="126">
        <f>'PDRB ADHB'!N10</f>
        <v>130202.05</v>
      </c>
      <c r="O10" s="126">
        <f>'PDRB ADHB'!O10</f>
        <v>155099.82</v>
      </c>
      <c r="P10" s="126">
        <f>'PDRB ADHB'!P10</f>
        <v>176286.29</v>
      </c>
      <c r="Q10" s="126">
        <f>'PDRB ADHB'!Q10</f>
        <v>200138.9</v>
      </c>
      <c r="R10" s="126">
        <f>'PDRB ADHB'!R10</f>
        <v>59256.75</v>
      </c>
      <c r="S10" s="126">
        <f>'PDRB ADHB'!S10</f>
        <v>69538.67</v>
      </c>
      <c r="T10" s="126">
        <f>'PDRB ADHB'!T10</f>
        <v>74443.94</v>
      </c>
      <c r="U10" s="126">
        <f>'PDRB ADHB'!U10</f>
        <v>80201.66</v>
      </c>
      <c r="V10" s="126">
        <f>'PDRB ADHB'!V10</f>
        <v>96434.87</v>
      </c>
      <c r="W10" s="126">
        <f>'PDRB ADHB'!W10</f>
        <v>119171.36</v>
      </c>
      <c r="X10" s="126">
        <f>'PDRB ADHB'!X10</f>
        <v>132252.92</v>
      </c>
      <c r="Y10" s="126">
        <f>'PDRB ADHB'!Y10</f>
        <v>142333.91</v>
      </c>
      <c r="Z10" s="126">
        <f>'PDRB ADHB'!Z10</f>
        <v>492510.3</v>
      </c>
      <c r="AA10" s="126">
        <f>'PDRB ADHB'!AA10</f>
        <v>596338.74</v>
      </c>
      <c r="AB10" s="126">
        <f>'PDRB ADHB'!AB10</f>
        <v>661403.08</v>
      </c>
      <c r="AC10" s="126">
        <f>'PDRB ADHB'!AC10</f>
        <v>705131.83</v>
      </c>
      <c r="AD10" s="97"/>
    </row>
    <row r="11">
      <c r="A11" s="94" t="s">
        <v>18</v>
      </c>
      <c r="B11" s="126">
        <f>'PDRB ADHB'!B11</f>
        <v>16374.44</v>
      </c>
      <c r="C11" s="126">
        <f>'PDRB ADHB'!C11</f>
        <v>18421.95</v>
      </c>
      <c r="D11" s="126">
        <f>'PDRB ADHB'!D11</f>
        <v>20534.52</v>
      </c>
      <c r="E11" s="126">
        <f>'PDRB ADHB'!E11</f>
        <v>22713.47</v>
      </c>
      <c r="F11" s="126">
        <f>'PDRB ADHB'!F11</f>
        <v>17447.46</v>
      </c>
      <c r="G11" s="126">
        <f>'PDRB ADHB'!G11</f>
        <v>19150.09</v>
      </c>
      <c r="H11" s="126">
        <f>'PDRB ADHB'!H11</f>
        <v>21071.86</v>
      </c>
      <c r="I11" s="126">
        <f>'PDRB ADHB'!I11</f>
        <v>22828.46</v>
      </c>
      <c r="J11" s="126">
        <f>'PDRB ADHB'!J11</f>
        <v>143663.36</v>
      </c>
      <c r="K11" s="126">
        <f>'PDRB ADHB'!K11</f>
        <v>161237.93</v>
      </c>
      <c r="L11" s="126">
        <f>'PDRB ADHB'!L11</f>
        <v>178510.88</v>
      </c>
      <c r="M11" s="126">
        <f>'PDRB ADHB'!M11</f>
        <v>178510.88</v>
      </c>
      <c r="N11" s="126">
        <f>'PDRB ADHB'!N11</f>
        <v>69670.16</v>
      </c>
      <c r="O11" s="126">
        <f>'PDRB ADHB'!O11</f>
        <v>79501.42</v>
      </c>
      <c r="P11" s="126">
        <f>'PDRB ADHB'!P11</f>
        <v>86660.1</v>
      </c>
      <c r="Q11" s="126">
        <f>'PDRB ADHB'!Q11</f>
        <v>97413.82</v>
      </c>
      <c r="R11" s="126">
        <f>'PDRB ADHB'!R11</f>
        <v>51316.31</v>
      </c>
      <c r="S11" s="126">
        <f>'PDRB ADHB'!S11</f>
        <v>57757.14</v>
      </c>
      <c r="T11" s="126">
        <f>'PDRB ADHB'!T11</f>
        <v>64731.32</v>
      </c>
      <c r="U11" s="126">
        <f>'PDRB ADHB'!U11</f>
        <v>72617.6</v>
      </c>
      <c r="V11" s="126">
        <f>'PDRB ADHB'!V11</f>
        <v>154142.37</v>
      </c>
      <c r="W11" s="126">
        <f>'PDRB ADHB'!W11</f>
        <v>173189.33</v>
      </c>
      <c r="X11" s="126">
        <f>'PDRB ADHB'!X11</f>
        <v>189716.7</v>
      </c>
      <c r="Y11" s="126">
        <f>'PDRB ADHB'!Y11</f>
        <v>208494.46</v>
      </c>
      <c r="Z11" s="126">
        <f>'PDRB ADHB'!Z11</f>
        <v>452614.1</v>
      </c>
      <c r="AA11" s="126">
        <f>'PDRB ADHB'!AA11</f>
        <v>509257.86</v>
      </c>
      <c r="AB11" s="126">
        <f>'PDRB ADHB'!AB11</f>
        <v>561225.38</v>
      </c>
      <c r="AC11" s="126">
        <f>'PDRB ADHB'!AC11</f>
        <v>602578.69</v>
      </c>
      <c r="AD11" s="97"/>
    </row>
    <row r="12">
      <c r="A12" s="94" t="s">
        <v>19</v>
      </c>
      <c r="B12" s="126">
        <f>'PDRB ADHB'!B12</f>
        <v>17073.16</v>
      </c>
      <c r="C12" s="126">
        <f>'PDRB ADHB'!C12</f>
        <v>18110.08</v>
      </c>
      <c r="D12" s="126">
        <f>'PDRB ADHB'!D12</f>
        <v>18931.12</v>
      </c>
      <c r="E12" s="126">
        <f>'PDRB ADHB'!E12</f>
        <v>20056.23</v>
      </c>
      <c r="F12" s="126">
        <f>'PDRB ADHB'!F12</f>
        <v>28218.24</v>
      </c>
      <c r="G12" s="126">
        <f>'PDRB ADHB'!G12</f>
        <v>30601.82</v>
      </c>
      <c r="H12" s="126">
        <f>'PDRB ADHB'!H12</f>
        <v>32734.19</v>
      </c>
      <c r="I12" s="126">
        <f>'PDRB ADHB'!I12</f>
        <v>34663.22</v>
      </c>
      <c r="J12" s="126">
        <f>'PDRB ADHB'!J12</f>
        <v>294865.58</v>
      </c>
      <c r="K12" s="126">
        <f>'PDRB ADHB'!K12</f>
        <v>320987.64</v>
      </c>
      <c r="L12" s="126">
        <f>'PDRB ADHB'!L12</f>
        <v>342477.64</v>
      </c>
      <c r="M12" s="126">
        <f>'PDRB ADHB'!M12</f>
        <v>342477.64</v>
      </c>
      <c r="N12" s="126">
        <f>'PDRB ADHB'!N12</f>
        <v>92644.33</v>
      </c>
      <c r="O12" s="126">
        <f>'PDRB ADHB'!O12</f>
        <v>100002.58</v>
      </c>
      <c r="P12" s="126">
        <f>'PDRB ADHB'!P12</f>
        <v>108134.62</v>
      </c>
      <c r="Q12" s="126">
        <f>'PDRB ADHB'!Q12</f>
        <v>117665</v>
      </c>
      <c r="R12" s="126">
        <f>'PDRB ADHB'!R12</f>
        <v>62593.23</v>
      </c>
      <c r="S12" s="126">
        <f>'PDRB ADHB'!S12</f>
        <v>69420.57</v>
      </c>
      <c r="T12" s="126">
        <f>'PDRB ADHB'!T12</f>
        <v>76438.36</v>
      </c>
      <c r="U12" s="126">
        <f>'PDRB ADHB'!U12</f>
        <v>83408.76</v>
      </c>
      <c r="V12" s="126">
        <f>'PDRB ADHB'!V12</f>
        <v>135673.33</v>
      </c>
      <c r="W12" s="126">
        <f>'PDRB ADHB'!W12</f>
        <v>145547.25</v>
      </c>
      <c r="X12" s="126">
        <f>'PDRB ADHB'!X12</f>
        <v>156394.33</v>
      </c>
      <c r="Y12" s="126">
        <f>'PDRB ADHB'!Y12</f>
        <v>168566.56</v>
      </c>
      <c r="Z12" s="126">
        <f>'PDRB ADHB'!Z12</f>
        <v>631067.87</v>
      </c>
      <c r="AA12" s="126">
        <f>'PDRB ADHB'!AA12</f>
        <v>684669.94</v>
      </c>
      <c r="AB12" s="126">
        <f>'PDRB ADHB'!AB12</f>
        <v>735110.26</v>
      </c>
      <c r="AC12" s="126">
        <f>'PDRB ADHB'!AC12</f>
        <v>766837.41</v>
      </c>
      <c r="AD12" s="97"/>
    </row>
    <row r="13">
      <c r="A13" s="94" t="s">
        <v>20</v>
      </c>
      <c r="B13" s="126">
        <f>'PDRB ADHB'!B13</f>
        <v>6830.31</v>
      </c>
      <c r="C13" s="126">
        <f>'PDRB ADHB'!C13</f>
        <v>7678.61</v>
      </c>
      <c r="D13" s="126">
        <f>'PDRB ADHB'!D13</f>
        <v>8250.02</v>
      </c>
      <c r="E13" s="126">
        <f>'PDRB ADHB'!E13</f>
        <v>8561.35</v>
      </c>
      <c r="F13" s="126">
        <f>'PDRB ADHB'!F13</f>
        <v>25307.63</v>
      </c>
      <c r="G13" s="126">
        <f>'PDRB ADHB'!G13</f>
        <v>25724.53</v>
      </c>
      <c r="H13" s="126">
        <f>'PDRB ADHB'!H13</f>
        <v>26054.81</v>
      </c>
      <c r="I13" s="126">
        <f>'PDRB ADHB'!I13</f>
        <v>25992.58</v>
      </c>
      <c r="J13" s="126">
        <f>'PDRB ADHB'!J13</f>
        <v>352956.32</v>
      </c>
      <c r="K13" s="126">
        <f>'PDRB ADHB'!K13</f>
        <v>382294.93</v>
      </c>
      <c r="L13" s="126">
        <f>'PDRB ADHB'!L13</f>
        <v>408186.14</v>
      </c>
      <c r="M13" s="126">
        <f>'PDRB ADHB'!M13</f>
        <v>408186.14</v>
      </c>
      <c r="N13" s="126">
        <f>'PDRB ADHB'!N13</f>
        <v>69885.95</v>
      </c>
      <c r="O13" s="126">
        <f>'PDRB ADHB'!O13</f>
        <v>74126.26</v>
      </c>
      <c r="P13" s="126">
        <f>'PDRB ADHB'!P13</f>
        <v>78558.46</v>
      </c>
      <c r="Q13" s="126">
        <f>'PDRB ADHB'!Q13</f>
        <v>83737.81</v>
      </c>
      <c r="R13" s="126">
        <f>'PDRB ADHB'!R13</f>
        <v>46920.61</v>
      </c>
      <c r="S13" s="126">
        <f>'PDRB ADHB'!S13</f>
        <v>48965.2</v>
      </c>
      <c r="T13" s="126">
        <f>'PDRB ADHB'!T13</f>
        <v>50560.09</v>
      </c>
      <c r="U13" s="126">
        <f>'PDRB ADHB'!U13</f>
        <v>54552.68</v>
      </c>
      <c r="V13" s="126">
        <f>'PDRB ADHB'!V13</f>
        <v>72592.53</v>
      </c>
      <c r="W13" s="126">
        <f>'PDRB ADHB'!W13</f>
        <v>77073.8</v>
      </c>
      <c r="X13" s="126">
        <f>'PDRB ADHB'!X13</f>
        <v>80978.2</v>
      </c>
      <c r="Y13" s="126">
        <f>'PDRB ADHB'!Y13</f>
        <v>84295.03</v>
      </c>
      <c r="Z13" s="126">
        <f>'PDRB ADHB'!Z13</f>
        <v>574493.35</v>
      </c>
      <c r="AA13" s="126">
        <f>'PDRB ADHB'!AA13</f>
        <v>615863.33</v>
      </c>
      <c r="AB13" s="126">
        <f>'PDRB ADHB'!AB13</f>
        <v>652587.72</v>
      </c>
      <c r="AC13" s="126">
        <f>'PDRB ADHB'!AC13</f>
        <v>665325.59</v>
      </c>
      <c r="AD13" s="97"/>
    </row>
    <row r="14">
      <c r="A14" s="94" t="s">
        <v>21</v>
      </c>
      <c r="B14" s="126">
        <f>'PDRB ADHB'!B14</f>
        <v>11195.83</v>
      </c>
      <c r="C14" s="126">
        <f>'PDRB ADHB'!C14</f>
        <v>11930.69</v>
      </c>
      <c r="D14" s="126">
        <f>'PDRB ADHB'!D14</f>
        <v>12540.58</v>
      </c>
      <c r="E14" s="126">
        <f>'PDRB ADHB'!E14</f>
        <v>13482.51</v>
      </c>
      <c r="F14" s="126">
        <f>'PDRB ADHB'!F14</f>
        <v>60289.4</v>
      </c>
      <c r="G14" s="126">
        <f>'PDRB ADHB'!G14</f>
        <v>64183.34</v>
      </c>
      <c r="H14" s="126">
        <f>'PDRB ADHB'!H14</f>
        <v>67427.4</v>
      </c>
      <c r="I14" s="126">
        <f>'PDRB ADHB'!I14</f>
        <v>73458.86</v>
      </c>
      <c r="J14" s="126">
        <f>'PDRB ADHB'!J14</f>
        <v>186183.76</v>
      </c>
      <c r="K14" s="126">
        <f>'PDRB ADHB'!K14</f>
        <v>193776</v>
      </c>
      <c r="L14" s="126">
        <f>'PDRB ADHB'!L14</f>
        <v>200045.22</v>
      </c>
      <c r="M14" s="126">
        <f>'PDRB ADHB'!M14</f>
        <v>200045.22</v>
      </c>
      <c r="N14" s="126">
        <f>'PDRB ADHB'!N14</f>
        <v>28413.16</v>
      </c>
      <c r="O14" s="126">
        <f>'PDRB ADHB'!O14</f>
        <v>30746.38</v>
      </c>
      <c r="P14" s="126">
        <f>'PDRB ADHB'!P14</f>
        <v>32865.01</v>
      </c>
      <c r="Q14" s="126">
        <f>'PDRB ADHB'!Q14</f>
        <v>35902.46</v>
      </c>
      <c r="R14" s="126">
        <f>'PDRB ADHB'!R14</f>
        <v>25420.79</v>
      </c>
      <c r="S14" s="126">
        <f>'PDRB ADHB'!S14</f>
        <v>27455.79</v>
      </c>
      <c r="T14" s="126">
        <f>'PDRB ADHB'!T14</f>
        <v>29153.89</v>
      </c>
      <c r="U14" s="126">
        <f>'PDRB ADHB'!U14</f>
        <v>31091.49</v>
      </c>
      <c r="V14" s="126">
        <f>'PDRB ADHB'!V14</f>
        <v>44748.26</v>
      </c>
      <c r="W14" s="126">
        <f>'PDRB ADHB'!W14</f>
        <v>46496.44</v>
      </c>
      <c r="X14" s="126">
        <f>'PDRB ADHB'!X14</f>
        <v>48278.29</v>
      </c>
      <c r="Y14" s="126">
        <f>'PDRB ADHB'!Y14</f>
        <v>51192.48</v>
      </c>
      <c r="Z14" s="126">
        <f>'PDRB ADHB'!Z14</f>
        <v>356251.2</v>
      </c>
      <c r="AA14" s="126">
        <f>'PDRB ADHB'!AA14</f>
        <v>374588.64</v>
      </c>
      <c r="AB14" s="126">
        <f>'PDRB ADHB'!AB14</f>
        <v>390310.39</v>
      </c>
      <c r="AC14" s="126">
        <f>'PDRB ADHB'!AC14</f>
        <v>405173.02</v>
      </c>
      <c r="AD14" s="97"/>
    </row>
    <row r="15">
      <c r="A15" s="94" t="s">
        <v>22</v>
      </c>
      <c r="B15" s="126">
        <f>'PDRB ADHB'!B15</f>
        <v>1548.81</v>
      </c>
      <c r="C15" s="126">
        <f>'PDRB ADHB'!C15</f>
        <v>1741.21</v>
      </c>
      <c r="D15" s="126">
        <f>'PDRB ADHB'!D15</f>
        <v>1873.46</v>
      </c>
      <c r="E15" s="126">
        <f>'PDRB ADHB'!E15</f>
        <v>1993.81</v>
      </c>
      <c r="F15" s="126">
        <f>'PDRB ADHB'!F15</f>
        <v>7918.16</v>
      </c>
      <c r="G15" s="126">
        <f>'PDRB ADHB'!G15</f>
        <v>8820.02</v>
      </c>
      <c r="H15" s="126">
        <f>'PDRB ADHB'!H15</f>
        <v>9660.48</v>
      </c>
      <c r="I15" s="126">
        <f>'PDRB ADHB'!I15</f>
        <v>10435.32</v>
      </c>
      <c r="J15" s="126">
        <f>'PDRB ADHB'!J15</f>
        <v>271840.58</v>
      </c>
      <c r="K15" s="126">
        <f>'PDRB ADHB'!K15</f>
        <v>302616.49</v>
      </c>
      <c r="L15" s="126">
        <f>'PDRB ADHB'!L15</f>
        <v>323347.99</v>
      </c>
      <c r="M15" s="126">
        <f>'PDRB ADHB'!M15</f>
        <v>323347.99</v>
      </c>
      <c r="N15" s="126">
        <f>'PDRB ADHB'!N15</f>
        <v>10812</v>
      </c>
      <c r="O15" s="126">
        <f>'PDRB ADHB'!O15</f>
        <v>12091.47</v>
      </c>
      <c r="P15" s="126">
        <f>'PDRB ADHB'!P15</f>
        <v>13105.19</v>
      </c>
      <c r="Q15" s="126">
        <f>'PDRB ADHB'!Q15</f>
        <v>15660.5</v>
      </c>
      <c r="R15" s="126">
        <f>'PDRB ADHB'!R15</f>
        <v>6259.7</v>
      </c>
      <c r="S15" s="126">
        <f>'PDRB ADHB'!S15</f>
        <v>6975.59</v>
      </c>
      <c r="T15" s="126">
        <f>'PDRB ADHB'!T15</f>
        <v>7783.77</v>
      </c>
      <c r="U15" s="126">
        <f>'PDRB ADHB'!U15</f>
        <v>8561.14</v>
      </c>
      <c r="V15" s="126">
        <f>'PDRB ADHB'!V15</f>
        <v>21396.64</v>
      </c>
      <c r="W15" s="126">
        <f>'PDRB ADHB'!W15</f>
        <v>23816.58</v>
      </c>
      <c r="X15" s="126">
        <f>'PDRB ADHB'!X15</f>
        <v>26186.87</v>
      </c>
      <c r="Y15" s="126">
        <f>'PDRB ADHB'!Y15</f>
        <v>29409.51</v>
      </c>
      <c r="Z15" s="126">
        <f>'PDRB ADHB'!Z15</f>
        <v>319775.89</v>
      </c>
      <c r="AA15" s="126">
        <f>'PDRB ADHB'!AA15</f>
        <v>356061.36</v>
      </c>
      <c r="AB15" s="126">
        <f>'PDRB ADHB'!AB15</f>
        <v>381957.76</v>
      </c>
      <c r="AC15" s="126">
        <f>'PDRB ADHB'!AC15</f>
        <v>389408.27</v>
      </c>
      <c r="AD15" s="97"/>
    </row>
    <row r="16">
      <c r="A16" s="93" t="s">
        <v>23</v>
      </c>
      <c r="B16" s="126">
        <f>'PDRB ADHB'!B16</f>
        <v>12932.98</v>
      </c>
      <c r="C16" s="126">
        <f>'PDRB ADHB'!C16</f>
        <v>13511.26</v>
      </c>
      <c r="D16" s="126">
        <f>'PDRB ADHB'!D16</f>
        <v>14551.51</v>
      </c>
      <c r="E16" s="126">
        <f>'PDRB ADHB'!E16</f>
        <v>15291.5</v>
      </c>
      <c r="F16" s="126">
        <f>'PDRB ADHB'!F16</f>
        <v>15227.22</v>
      </c>
      <c r="G16" s="126">
        <f>'PDRB ADHB'!G16</f>
        <v>16117.88</v>
      </c>
      <c r="H16" s="126">
        <f>'PDRB ADHB'!H16</f>
        <v>19202.51</v>
      </c>
      <c r="I16" s="126">
        <f>'PDRB ADHB'!I16</f>
        <v>20352.61</v>
      </c>
      <c r="J16" s="126">
        <f>'PDRB ADHB'!J16</f>
        <v>145730.06</v>
      </c>
      <c r="K16" s="126">
        <f>'PDRB ADHB'!K16</f>
        <v>148081.92</v>
      </c>
      <c r="L16" s="126">
        <f>'PDRB ADHB'!L16</f>
        <v>157015.91</v>
      </c>
      <c r="M16" s="126">
        <f>'PDRB ADHB'!M16</f>
        <v>157015.91</v>
      </c>
      <c r="N16" s="126">
        <f>'PDRB ADHB'!N16</f>
        <v>44535.07</v>
      </c>
      <c r="O16" s="126">
        <f>'PDRB ADHB'!O16</f>
        <v>46278.92</v>
      </c>
      <c r="P16" s="126">
        <f>'PDRB ADHB'!P16</f>
        <v>50520.49</v>
      </c>
      <c r="Q16" s="126">
        <f>'PDRB ADHB'!Q16</f>
        <v>52827.96</v>
      </c>
      <c r="R16" s="126">
        <f>'PDRB ADHB'!R16</f>
        <v>37421.33</v>
      </c>
      <c r="S16" s="126">
        <f>'PDRB ADHB'!S16</f>
        <v>39955</v>
      </c>
      <c r="T16" s="126">
        <f>'PDRB ADHB'!T16</f>
        <v>43959.71</v>
      </c>
      <c r="U16" s="126">
        <f>'PDRB ADHB'!U16</f>
        <v>45763.61</v>
      </c>
      <c r="V16" s="126">
        <f>'PDRB ADHB'!V16</f>
        <v>58448.68</v>
      </c>
      <c r="W16" s="126">
        <f>'PDRB ADHB'!W16</f>
        <v>60369.97</v>
      </c>
      <c r="X16" s="126">
        <f>'PDRB ADHB'!X16</f>
        <v>68203.9</v>
      </c>
      <c r="Y16" s="126">
        <f>'PDRB ADHB'!Y16</f>
        <v>71165.83</v>
      </c>
      <c r="Z16" s="126">
        <f>'PDRB ADHB'!Z16</f>
        <v>314295.34</v>
      </c>
      <c r="AA16" s="126">
        <f>'PDRB ADHB'!AA16</f>
        <v>324314.95</v>
      </c>
      <c r="AB16" s="126">
        <f>'PDRB ADHB'!AB16</f>
        <v>353454.03</v>
      </c>
      <c r="AC16" s="126">
        <f>'PDRB ADHB'!AC16</f>
        <v>362417.42</v>
      </c>
      <c r="AD16" s="97"/>
    </row>
    <row r="17">
      <c r="A17" s="94" t="s">
        <v>24</v>
      </c>
      <c r="B17" s="126">
        <f>'PDRB ADHB'!B17</f>
        <v>13913.75</v>
      </c>
      <c r="C17" s="126">
        <f>'PDRB ADHB'!C17</f>
        <v>15212.77</v>
      </c>
      <c r="D17" s="126">
        <f>'PDRB ADHB'!D17</f>
        <v>16027.4</v>
      </c>
      <c r="E17" s="126">
        <f>'PDRB ADHB'!E17</f>
        <v>17051</v>
      </c>
      <c r="F17" s="126">
        <f>'PDRB ADHB'!F17</f>
        <v>24581.06</v>
      </c>
      <c r="G17" s="126">
        <f>'PDRB ADHB'!G17</f>
        <v>26680.99</v>
      </c>
      <c r="H17" s="126">
        <f>'PDRB ADHB'!H17</f>
        <v>29453.36</v>
      </c>
      <c r="I17" s="126">
        <f>'PDRB ADHB'!I17</f>
        <v>31944.14</v>
      </c>
      <c r="J17" s="126">
        <f>'PDRB ADHB'!J17</f>
        <v>149353.37</v>
      </c>
      <c r="K17" s="126">
        <f>'PDRB ADHB'!K17</f>
        <v>150213.28</v>
      </c>
      <c r="L17" s="126">
        <f>'PDRB ADHB'!L17</f>
        <v>159541.97</v>
      </c>
      <c r="M17" s="126">
        <f>'PDRB ADHB'!M17</f>
        <v>159541.97</v>
      </c>
      <c r="N17" s="126">
        <f>'PDRB ADHB'!N17</f>
        <v>80336.14</v>
      </c>
      <c r="O17" s="126">
        <f>'PDRB ADHB'!O17</f>
        <v>86301.84</v>
      </c>
      <c r="P17" s="126">
        <f>'PDRB ADHB'!P17</f>
        <v>92230.1</v>
      </c>
      <c r="Q17" s="126">
        <f>'PDRB ADHB'!Q17</f>
        <v>99553.07</v>
      </c>
      <c r="R17" s="126">
        <f>'PDRB ADHB'!R17</f>
        <v>65985.53</v>
      </c>
      <c r="S17" s="126">
        <f>'PDRB ADHB'!S17</f>
        <v>70550.28</v>
      </c>
      <c r="T17" s="126">
        <f>'PDRB ADHB'!T17</f>
        <v>77978.57</v>
      </c>
      <c r="U17" s="126">
        <f>'PDRB ADHB'!U17</f>
        <v>84860.79</v>
      </c>
      <c r="V17" s="126">
        <f>'PDRB ADHB'!V17</f>
        <v>67704.93</v>
      </c>
      <c r="W17" s="126">
        <f>'PDRB ADHB'!W17</f>
        <v>72543.67</v>
      </c>
      <c r="X17" s="126">
        <f>'PDRB ADHB'!X17</f>
        <v>77115.59</v>
      </c>
      <c r="Y17" s="126">
        <f>'PDRB ADHB'!Y17</f>
        <v>83169.6</v>
      </c>
      <c r="Z17" s="126">
        <f>'PDRB ADHB'!Z17</f>
        <v>401874.78</v>
      </c>
      <c r="AA17" s="126">
        <f>'PDRB ADHB'!AA17</f>
        <v>421502.83</v>
      </c>
      <c r="AB17" s="126">
        <f>'PDRB ADHB'!AB17</f>
        <v>452346.99</v>
      </c>
      <c r="AC17" s="126">
        <f>'PDRB ADHB'!AC17</f>
        <v>476120.57</v>
      </c>
      <c r="AD17" s="97"/>
    </row>
    <row r="18">
      <c r="A18" s="94" t="s">
        <v>25</v>
      </c>
      <c r="B18" s="126">
        <f>'PDRB ADHB'!B18</f>
        <v>5131.07</v>
      </c>
      <c r="C18" s="126">
        <f>'PDRB ADHB'!C18</f>
        <v>5789.17</v>
      </c>
      <c r="D18" s="126">
        <f>'PDRB ADHB'!D18</f>
        <v>6253.69</v>
      </c>
      <c r="E18" s="126">
        <f>'PDRB ADHB'!E18</f>
        <v>6789.31</v>
      </c>
      <c r="F18" s="126">
        <f>'PDRB ADHB'!F18</f>
        <v>10687.98</v>
      </c>
      <c r="G18" s="126" t="str">
        <f>'PDRB ADHB'!G18</f>
        <v>11.841.83</v>
      </c>
      <c r="H18" s="126">
        <f>'PDRB ADHB'!H18</f>
        <v>13208.08</v>
      </c>
      <c r="I18" s="126">
        <f>'PDRB ADHB'!I18</f>
        <v>13840.12</v>
      </c>
      <c r="J18" s="126">
        <f>'PDRB ADHB'!J18</f>
        <v>70997.34</v>
      </c>
      <c r="K18" s="126">
        <f>'PDRB ADHB'!K18</f>
        <v>76588.42</v>
      </c>
      <c r="L18" s="126">
        <f>'PDRB ADHB'!L18</f>
        <v>82004.51</v>
      </c>
      <c r="M18" s="126">
        <f>'PDRB ADHB'!M18</f>
        <v>82004.51</v>
      </c>
      <c r="N18" s="126">
        <f>'PDRB ADHB'!N18</f>
        <v>19157.24</v>
      </c>
      <c r="O18" s="126">
        <f>'PDRB ADHB'!O18</f>
        <v>20978.21</v>
      </c>
      <c r="P18" s="126">
        <f>'PDRB ADHB'!P18</f>
        <v>22908.96</v>
      </c>
      <c r="Q18" s="126">
        <f>'PDRB ADHB'!Q18</f>
        <v>25573.7</v>
      </c>
      <c r="R18" s="126">
        <f>'PDRB ADHB'!R18</f>
        <v>14372.31</v>
      </c>
      <c r="S18" s="126">
        <f>'PDRB ADHB'!S18</f>
        <v>15533.75</v>
      </c>
      <c r="T18" s="126">
        <f>'PDRB ADHB'!T18</f>
        <v>16932.97</v>
      </c>
      <c r="U18" s="126">
        <f>'PDRB ADHB'!U18</f>
        <v>18109.07</v>
      </c>
      <c r="V18" s="126">
        <f>'PDRB ADHB'!V18</f>
        <v>18875.47</v>
      </c>
      <c r="W18" s="126">
        <f>'PDRB ADHB'!W18</f>
        <v>20154.16</v>
      </c>
      <c r="X18" s="126">
        <f>'PDRB ADHB'!X18</f>
        <v>21473.36</v>
      </c>
      <c r="Y18" s="126">
        <f>'PDRB ADHB'!Y18</f>
        <v>23719.81</v>
      </c>
      <c r="Z18" s="126">
        <f>'PDRB ADHB'!Z18</f>
        <v>139221.41</v>
      </c>
      <c r="AA18" s="126">
        <f>'PDRB ADHB'!AA18</f>
        <v>139043.71</v>
      </c>
      <c r="AB18" s="126">
        <f>'PDRB ADHB'!AB18</f>
        <v>162781.57</v>
      </c>
      <c r="AC18" s="126">
        <f>'PDRB ADHB'!AC18</f>
        <v>170036.52</v>
      </c>
      <c r="AD18" s="97"/>
    </row>
    <row r="19">
      <c r="A19" s="94" t="s">
        <v>26</v>
      </c>
      <c r="B19" s="126">
        <f>'PDRB ADHB'!B19</f>
        <v>4721.76</v>
      </c>
      <c r="C19" s="126">
        <f>'PDRB ADHB'!C19</f>
        <v>5293.81</v>
      </c>
      <c r="D19" s="126">
        <f>'PDRB ADHB'!D19</f>
        <v>5548.53</v>
      </c>
      <c r="E19" s="126">
        <f>'PDRB ADHB'!E19</f>
        <v>6186.01</v>
      </c>
      <c r="F19" s="126">
        <f>'PDRB ADHB'!F19</f>
        <v>12163.45</v>
      </c>
      <c r="G19" s="126">
        <f>'PDRB ADHB'!G19</f>
        <v>13971.78</v>
      </c>
      <c r="H19" s="126">
        <f>'PDRB ADHB'!H19</f>
        <v>14903.65</v>
      </c>
      <c r="I19" s="126">
        <f>'PDRB ADHB'!I19</f>
        <v>16027.73</v>
      </c>
      <c r="J19" s="126">
        <f>'PDRB ADHB'!J19</f>
        <v>128238.43</v>
      </c>
      <c r="K19" s="126">
        <f>'PDRB ADHB'!K19</f>
        <v>149693.7</v>
      </c>
      <c r="L19" s="126">
        <f>'PDRB ADHB'!L19</f>
        <v>159695.26</v>
      </c>
      <c r="M19" s="126">
        <f>'PDRB ADHB'!M19</f>
        <v>159695.26</v>
      </c>
      <c r="N19" s="126">
        <f>'PDRB ADHB'!N19</f>
        <v>52154.05</v>
      </c>
      <c r="O19" s="126">
        <f>'PDRB ADHB'!O19</f>
        <v>58490.22</v>
      </c>
      <c r="P19" s="126">
        <f>'PDRB ADHB'!P19</f>
        <v>66839.94</v>
      </c>
      <c r="Q19" s="126">
        <f>'PDRB ADHB'!Q19</f>
        <v>79766.91</v>
      </c>
      <c r="R19" s="126">
        <f>'PDRB ADHB'!R19</f>
        <v>24413.4</v>
      </c>
      <c r="S19" s="126">
        <f>'PDRB ADHB'!S19</f>
        <v>27022.68</v>
      </c>
      <c r="T19" s="126">
        <f>'PDRB ADHB'!T19</f>
        <v>29586.58</v>
      </c>
      <c r="U19" s="126">
        <f>'PDRB ADHB'!U19</f>
        <v>32949.35</v>
      </c>
      <c r="V19" s="126">
        <f>'PDRB ADHB'!V19</f>
        <v>35552.39</v>
      </c>
      <c r="W19" s="126">
        <f>'PDRB ADHB'!W19</f>
        <v>40663.65</v>
      </c>
      <c r="X19" s="126">
        <f>'PDRB ADHB'!X19</f>
        <v>45132.22</v>
      </c>
      <c r="Y19" s="126" t="str">
        <f>'PDRB ADHB'!Y19</f>
        <v>51.099.95</v>
      </c>
      <c r="Z19" s="126">
        <f>'PDRB ADHB'!Z19</f>
        <v>257243.48</v>
      </c>
      <c r="AA19" s="126">
        <f>'PDRB ADHB'!AA19</f>
        <v>295135.84</v>
      </c>
      <c r="AB19" s="126">
        <f>'PDRB ADHB'!AB19</f>
        <v>321706.18</v>
      </c>
      <c r="AC19" s="126">
        <f>'PDRB ADHB'!AC19</f>
        <v>294625.26</v>
      </c>
      <c r="AD19" s="97"/>
    </row>
    <row r="20">
      <c r="A20" s="95" t="s">
        <v>27</v>
      </c>
      <c r="B20" s="126">
        <f>'PDRB ADHB'!B20</f>
        <v>165724.52</v>
      </c>
      <c r="C20" s="126">
        <f>'PDRB ADHB'!C20</f>
        <v>180746.4</v>
      </c>
      <c r="D20" s="126">
        <f>'PDRB ADHB'!D20</f>
        <v>193561.95</v>
      </c>
      <c r="E20" s="126">
        <f>'PDRB ADHB'!E20</f>
        <v>208133.81</v>
      </c>
      <c r="F20" s="126">
        <f>'PDRB ADHB'!F20</f>
        <v>747223.58</v>
      </c>
      <c r="G20" s="126">
        <f>'PDRB ADHB'!G20</f>
        <v>802282.49</v>
      </c>
      <c r="H20" s="126">
        <f>'PDRB ADHB'!H20</f>
        <v>873626.26</v>
      </c>
      <c r="I20" s="126">
        <f>'PDRB ADHB'!I20</f>
        <v>936203.97</v>
      </c>
      <c r="J20" s="126">
        <f>'PDRB ADHB'!J20</f>
        <v>3188541.24</v>
      </c>
      <c r="K20" s="126">
        <f>'PDRB ADHB'!K20</f>
        <v>3443359.21</v>
      </c>
      <c r="L20" s="126">
        <f>'PDRB ADHB'!L20</f>
        <v>3679708.73</v>
      </c>
      <c r="M20" s="126">
        <f>'PDRB ADHB'!M20</f>
        <v>3679708.73</v>
      </c>
      <c r="N20" s="126">
        <f>'PDRB ADHB'!N20</f>
        <v>2422782.32</v>
      </c>
      <c r="O20" s="126">
        <f>'PDRB ADHB'!O20</f>
        <v>2625218.59</v>
      </c>
      <c r="P20" s="126">
        <f>'PDRB ADHB'!P20</f>
        <v>2823338.73</v>
      </c>
      <c r="Q20" s="126">
        <f>'PDRB ADHB'!Q20</f>
        <v>3038668.11</v>
      </c>
      <c r="R20" s="126">
        <f>'PDRB ADHB'!R20</f>
        <v>1559140.35</v>
      </c>
      <c r="S20" s="126">
        <f>'PDRB ADHB'!S20</f>
        <v>1695427.92</v>
      </c>
      <c r="T20" s="126">
        <f>'PDRB ADHB'!T20</f>
        <v>1817710.81</v>
      </c>
      <c r="U20" s="126">
        <f>'PDRB ADHB'!U20</f>
        <v>1943187.64</v>
      </c>
      <c r="V20" s="126">
        <f>'PDRB ADHB'!V20</f>
        <v>2731423.65</v>
      </c>
      <c r="W20" s="126">
        <f>'PDRB ADHB'!W20</f>
        <v>2953546.99</v>
      </c>
      <c r="X20" s="126">
        <f>'PDRB ADHB'!X20</f>
        <v>3168295.57</v>
      </c>
      <c r="Y20" s="126">
        <f>'PDRB ADHB'!Y20</f>
        <v>3352066.9</v>
      </c>
      <c r="Z20" s="126">
        <f>'PDRB ADHB'!Z20</f>
        <v>10814835.66</v>
      </c>
      <c r="AA20" s="126">
        <f>'PDRB ADHB'!AA20</f>
        <v>11700581.6</v>
      </c>
      <c r="AB20" s="126">
        <f>'PDRB ADHB'!AB20</f>
        <v>12556242.05</v>
      </c>
      <c r="AC20" s="126">
        <f>'PDRB ADHB'!AC20</f>
        <v>13157969.16</v>
      </c>
      <c r="AD20" s="97"/>
    </row>
    <row r="21">
      <c r="A21" s="36"/>
      <c r="B21" s="96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12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</row>
    <row r="22">
      <c r="A22" s="36"/>
      <c r="B22" s="96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</row>
    <row r="23">
      <c r="A23" s="36"/>
      <c r="B23" s="96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128"/>
      <c r="W23" s="97"/>
      <c r="X23" s="97"/>
      <c r="Y23" s="97"/>
      <c r="Z23" s="97"/>
      <c r="AA23" s="97"/>
      <c r="AB23" s="97"/>
      <c r="AC23" s="97"/>
      <c r="AD23" s="97"/>
    </row>
    <row r="24">
      <c r="A24" s="91" t="s">
        <v>0</v>
      </c>
      <c r="B24" s="121" t="s">
        <v>1</v>
      </c>
      <c r="C24" s="3"/>
      <c r="D24" s="3"/>
      <c r="E24" s="4"/>
      <c r="F24" s="122" t="s">
        <v>7</v>
      </c>
      <c r="G24" s="3"/>
      <c r="H24" s="3"/>
      <c r="I24" s="4"/>
      <c r="J24" s="122" t="s">
        <v>40</v>
      </c>
      <c r="K24" s="3"/>
      <c r="L24" s="3"/>
      <c r="M24" s="4"/>
      <c r="N24" s="121" t="s">
        <v>35</v>
      </c>
      <c r="O24" s="3"/>
      <c r="P24" s="3"/>
      <c r="Q24" s="4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</row>
    <row r="25">
      <c r="A25" s="7"/>
      <c r="B25" s="124">
        <v>2022.0</v>
      </c>
      <c r="C25" s="124">
        <v>2023.0</v>
      </c>
      <c r="D25" s="124">
        <v>2024.0</v>
      </c>
      <c r="E25" s="124">
        <v>2025.0</v>
      </c>
      <c r="F25" s="124">
        <v>2022.0</v>
      </c>
      <c r="G25" s="124">
        <v>2023.0</v>
      </c>
      <c r="H25" s="124">
        <v>2024.0</v>
      </c>
      <c r="I25" s="124">
        <v>2025.0</v>
      </c>
      <c r="J25" s="124">
        <v>2022.0</v>
      </c>
      <c r="K25" s="124">
        <v>2023.0</v>
      </c>
      <c r="L25" s="124">
        <v>2024.0</v>
      </c>
      <c r="M25" s="124">
        <v>2025.0</v>
      </c>
      <c r="N25" s="124">
        <v>2022.0</v>
      </c>
      <c r="O25" s="124">
        <v>2023.0</v>
      </c>
      <c r="P25" s="124">
        <v>2024.0</v>
      </c>
      <c r="Q25" s="124">
        <v>2025.0</v>
      </c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</row>
    <row r="26">
      <c r="A26" s="93" t="s">
        <v>10</v>
      </c>
      <c r="B26" s="126"/>
      <c r="C26" s="129">
        <f t="shared" ref="C26:E26" si="1">(C3-B3)/B3</f>
        <v>0.1219633809</v>
      </c>
      <c r="D26" s="129">
        <f t="shared" si="1"/>
        <v>0.03912073143</v>
      </c>
      <c r="E26" s="129">
        <f t="shared" si="1"/>
        <v>0.09425136778</v>
      </c>
      <c r="F26" s="101"/>
      <c r="G26" s="130">
        <f t="shared" ref="G26:I26" si="2">(AA3-Z3)/Z3</f>
        <v>0.06855346303</v>
      </c>
      <c r="H26" s="130">
        <f t="shared" si="2"/>
        <v>0.0528511522</v>
      </c>
      <c r="I26" s="130">
        <f t="shared" si="2"/>
        <v>0.09359753409</v>
      </c>
      <c r="J26" s="101"/>
      <c r="K26" s="101">
        <f t="shared" ref="K26:M26" si="3">C26/G26</f>
        <v>1.779098757</v>
      </c>
      <c r="L26" s="101">
        <f t="shared" si="3"/>
        <v>0.7402058384</v>
      </c>
      <c r="M26" s="101">
        <f t="shared" si="3"/>
        <v>1.006985587</v>
      </c>
      <c r="N26" s="102"/>
      <c r="O26" s="102">
        <f>'LQ ADHB'!K26</f>
        <v>1.411774061</v>
      </c>
      <c r="P26" s="102">
        <f>'LQ ADHB'!L26</f>
        <v>1.413700452</v>
      </c>
      <c r="Q26" s="102">
        <f>'LQ ADHB'!M26</f>
        <v>1.378553141</v>
      </c>
      <c r="R26" s="97" t="str">
        <f t="shared" ref="R26:R42" si="7">IF(AND($M26&gt;1,$Q26&gt;1),"Maju Pesat",
IF(AND($M26&gt;1,$Q26&lt;1),"Potensial",
IF(AND($M26&lt;1,$Q26&gt;1),"Maju Tertekan",IF(AND($M26&lt;1,$Q26&lt;1),"Tertinggal"))))</f>
        <v>Maju Pesat</v>
      </c>
      <c r="S26" s="131" t="str">
        <f t="shared" ref="S26:S42" si="8">IF(R26="Maju Pesat","Kuadran I",
IF(R26="Potensial","Kuadran III",
IF(R26="Maju Tertekan","Kuadran II",
"Kuadran IV")))</f>
        <v>Kuadran I</v>
      </c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</row>
    <row r="27">
      <c r="A27" s="94" t="s">
        <v>11</v>
      </c>
      <c r="B27" s="126"/>
      <c r="C27" s="129">
        <f t="shared" ref="C27:E27" si="4">(C4-B4)/B4</f>
        <v>0.1206971433</v>
      </c>
      <c r="D27" s="129">
        <f t="shared" si="4"/>
        <v>0.08929642964</v>
      </c>
      <c r="E27" s="129">
        <f t="shared" si="4"/>
        <v>-0.09190336834</v>
      </c>
      <c r="F27" s="101"/>
      <c r="G27" s="130">
        <f t="shared" ref="G27:I27" si="5">(AA4-Z4)/Z4</f>
        <v>-0.05569210147</v>
      </c>
      <c r="H27" s="130">
        <f t="shared" si="5"/>
        <v>0.01401479234</v>
      </c>
      <c r="I27" s="130">
        <f t="shared" si="5"/>
        <v>0.007261971082</v>
      </c>
      <c r="J27" s="101"/>
      <c r="K27" s="101">
        <f t="shared" ref="K27:M27" si="6">C27/G27</f>
        <v>-2.167221925</v>
      </c>
      <c r="L27" s="101">
        <f t="shared" si="6"/>
        <v>6.371584214</v>
      </c>
      <c r="M27" s="101">
        <f t="shared" si="6"/>
        <v>-12.65543023</v>
      </c>
      <c r="N27" s="102"/>
      <c r="O27" s="102">
        <f>'LQ ADHB'!K27</f>
        <v>0.2414327495</v>
      </c>
      <c r="P27" s="102">
        <f>'LQ ADHB'!L27</f>
        <v>0.2977650832</v>
      </c>
      <c r="Q27" s="102">
        <f>'LQ ADHB'!M27</f>
        <v>0.2616193946</v>
      </c>
      <c r="R27" s="97" t="str">
        <f t="shared" si="7"/>
        <v>Tertinggal</v>
      </c>
      <c r="S27" s="131" t="str">
        <f t="shared" si="8"/>
        <v>Kuadran IV</v>
      </c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</row>
    <row r="28">
      <c r="A28" s="94" t="s">
        <v>12</v>
      </c>
      <c r="B28" s="126"/>
      <c r="C28" s="129">
        <f t="shared" ref="C28:E28" si="9">(C5-B5)/B5</f>
        <v>0.07975187429</v>
      </c>
      <c r="D28" s="129">
        <f t="shared" si="9"/>
        <v>0.07375967037</v>
      </c>
      <c r="E28" s="129">
        <f t="shared" si="9"/>
        <v>0.07086627224</v>
      </c>
      <c r="F28" s="101"/>
      <c r="G28" s="130">
        <f t="shared" ref="G28:I28" si="10">(AA5-Z5)/Z5</f>
        <v>0.0747554232</v>
      </c>
      <c r="H28" s="130">
        <f t="shared" si="10"/>
        <v>0.06727230343</v>
      </c>
      <c r="I28" s="130">
        <f t="shared" si="10"/>
        <v>0.05856691944</v>
      </c>
      <c r="J28" s="101"/>
      <c r="K28" s="101">
        <f t="shared" ref="K28:M28" si="11">C28/G28</f>
        <v>1.066837306</v>
      </c>
      <c r="L28" s="101">
        <f t="shared" si="11"/>
        <v>1.09643444</v>
      </c>
      <c r="M28" s="101">
        <f t="shared" si="11"/>
        <v>1.210005117</v>
      </c>
      <c r="N28" s="102"/>
      <c r="O28" s="102">
        <f>'LQ ADHB'!K28</f>
        <v>0.4221245467</v>
      </c>
      <c r="P28" s="102">
        <f>'LQ ADHB'!L28</f>
        <v>0.4284027333</v>
      </c>
      <c r="Q28" s="102">
        <f>'LQ ADHB'!M28</f>
        <v>0.4223531083</v>
      </c>
      <c r="R28" s="97" t="str">
        <f t="shared" si="7"/>
        <v>Potensial</v>
      </c>
      <c r="S28" s="131" t="str">
        <f t="shared" si="8"/>
        <v>Kuadran III</v>
      </c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</row>
    <row r="29">
      <c r="A29" s="94" t="s">
        <v>13</v>
      </c>
      <c r="B29" s="126"/>
      <c r="C29" s="129">
        <f t="shared" ref="C29:E29" si="12">(C6-B6)/B6</f>
        <v>0.1181679936</v>
      </c>
      <c r="D29" s="129">
        <f t="shared" si="12"/>
        <v>0.11024</v>
      </c>
      <c r="E29" s="129">
        <f t="shared" si="12"/>
        <v>0.05281740885</v>
      </c>
      <c r="F29" s="101"/>
      <c r="G29" s="130">
        <f t="shared" ref="G29:I29" si="13">(AA6-Z6)/Z6</f>
        <v>0.0400259802</v>
      </c>
      <c r="H29" s="130">
        <f t="shared" si="13"/>
        <v>-0.05474138498</v>
      </c>
      <c r="I29" s="130">
        <f t="shared" si="13"/>
        <v>0.04621121567</v>
      </c>
      <c r="J29" s="101"/>
      <c r="K29" s="101">
        <f t="shared" ref="K29:M29" si="14">C29/G29</f>
        <v>2.952282317</v>
      </c>
      <c r="L29" s="101">
        <f t="shared" si="14"/>
        <v>-2.013832862</v>
      </c>
      <c r="M29" s="101">
        <f t="shared" si="14"/>
        <v>1.14295649</v>
      </c>
      <c r="N29" s="102"/>
      <c r="O29" s="102">
        <f>'LQ ADHB'!K29</f>
        <v>0.3530403383</v>
      </c>
      <c r="P29" s="102">
        <f>'LQ ADHB'!L29</f>
        <v>0.4322507847</v>
      </c>
      <c r="Q29" s="102">
        <f>'LQ ADHB'!M29</f>
        <v>0.423912298</v>
      </c>
      <c r="R29" s="97" t="str">
        <f t="shared" si="7"/>
        <v>Potensial</v>
      </c>
      <c r="S29" s="131" t="str">
        <f t="shared" si="8"/>
        <v>Kuadran III</v>
      </c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</row>
    <row r="30">
      <c r="A30" s="93" t="s">
        <v>14</v>
      </c>
      <c r="B30" s="126"/>
      <c r="C30" s="129">
        <f t="shared" ref="C30:E30" si="15">(C7-B7)/B7</f>
        <v>0.0578827582</v>
      </c>
      <c r="D30" s="129">
        <f t="shared" si="15"/>
        <v>0.01302477032</v>
      </c>
      <c r="E30" s="129">
        <f t="shared" si="15"/>
        <v>0.0003443921479</v>
      </c>
      <c r="F30" s="101"/>
      <c r="G30" s="130">
        <f t="shared" ref="G30:I30" si="16">(AA7-Z7)/Z7</f>
        <v>0.04702837227</v>
      </c>
      <c r="H30" s="130">
        <f t="shared" si="16"/>
        <v>0.07441841826</v>
      </c>
      <c r="I30" s="130">
        <f t="shared" si="16"/>
        <v>0.04867612503</v>
      </c>
      <c r="J30" s="101"/>
      <c r="K30" s="101">
        <f t="shared" ref="K30:M30" si="17">C30/G30</f>
        <v>1.230805052</v>
      </c>
      <c r="L30" s="101">
        <f t="shared" si="17"/>
        <v>0.1750207896</v>
      </c>
      <c r="M30" s="101">
        <f t="shared" si="17"/>
        <v>0.007075175924</v>
      </c>
      <c r="N30" s="102"/>
      <c r="O30" s="102">
        <f>'LQ ADHB'!K30</f>
        <v>1.349289734</v>
      </c>
      <c r="P30" s="102">
        <f>'LQ ADHB'!L30</f>
        <v>1.317294286</v>
      </c>
      <c r="Q30" s="102">
        <f>'LQ ADHB'!M30</f>
        <v>1.224609175</v>
      </c>
      <c r="R30" s="97" t="str">
        <f t="shared" si="7"/>
        <v>Maju Tertekan</v>
      </c>
      <c r="S30" s="131" t="str">
        <f t="shared" si="8"/>
        <v>Kuadran II</v>
      </c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</row>
    <row r="31">
      <c r="A31" s="94" t="s">
        <v>15</v>
      </c>
      <c r="B31" s="126"/>
      <c r="C31" s="129">
        <f t="shared" ref="C31:E31" si="18">(C8-B8)/B8</f>
        <v>0.03630137195</v>
      </c>
      <c r="D31" s="129">
        <f t="shared" si="18"/>
        <v>0.09336589002</v>
      </c>
      <c r="E31" s="129">
        <f t="shared" si="18"/>
        <v>0.09625437925</v>
      </c>
      <c r="F31" s="101"/>
      <c r="G31" s="130">
        <f t="shared" ref="G31:I31" si="19">(AA8-Z8)/Z8</f>
        <v>0.07311707062</v>
      </c>
      <c r="H31" s="130">
        <f t="shared" si="19"/>
        <v>0.07916784687</v>
      </c>
      <c r="I31" s="130">
        <f t="shared" si="19"/>
        <v>0.04526494804</v>
      </c>
      <c r="J31" s="101"/>
      <c r="K31" s="101">
        <f t="shared" ref="K31:M31" si="20">C31/G31</f>
        <v>0.4964828547</v>
      </c>
      <c r="L31" s="101">
        <f t="shared" si="20"/>
        <v>1.179341029</v>
      </c>
      <c r="M31" s="101">
        <f t="shared" si="20"/>
        <v>2.126466138</v>
      </c>
      <c r="N31" s="102"/>
      <c r="O31" s="102">
        <f>'LQ ADHB'!K31</f>
        <v>0.9430987274</v>
      </c>
      <c r="P31" s="102">
        <f>'LQ ADHB'!L31</f>
        <v>0.96533044</v>
      </c>
      <c r="Q31" s="102">
        <f>'LQ ADHB'!M31</f>
        <v>0.9866599385</v>
      </c>
      <c r="R31" s="97" t="str">
        <f t="shared" si="7"/>
        <v>Potensial</v>
      </c>
      <c r="S31" s="131" t="str">
        <f t="shared" si="8"/>
        <v>Kuadran III</v>
      </c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</row>
    <row r="32">
      <c r="A32" s="94" t="s">
        <v>16</v>
      </c>
      <c r="B32" s="126"/>
      <c r="C32" s="129">
        <f t="shared" ref="C32:E32" si="21">(C9-B9)/B9</f>
        <v>0.07977592495</v>
      </c>
      <c r="D32" s="129">
        <f t="shared" si="21"/>
        <v>0.05786088146</v>
      </c>
      <c r="E32" s="129">
        <f t="shared" si="21"/>
        <v>0.07286201381</v>
      </c>
      <c r="F32" s="101"/>
      <c r="G32" s="130">
        <f t="shared" ref="G32:I32" si="22">(AA9-Z9)/Z9</f>
        <v>0.09120657807</v>
      </c>
      <c r="H32" s="130">
        <f t="shared" si="22"/>
        <v>0.07595600105</v>
      </c>
      <c r="I32" s="130">
        <f t="shared" si="22"/>
        <v>0.04445492668</v>
      </c>
      <c r="J32" s="101"/>
      <c r="K32" s="101">
        <f t="shared" ref="K32:M32" si="23">C32/G32</f>
        <v>0.8746729308</v>
      </c>
      <c r="L32" s="101">
        <f t="shared" si="23"/>
        <v>0.7617684009</v>
      </c>
      <c r="M32" s="101">
        <f t="shared" si="23"/>
        <v>1.63900875</v>
      </c>
      <c r="N32" s="102"/>
      <c r="O32" s="102">
        <f>'LQ ADHB'!K32</f>
        <v>0.5096497014</v>
      </c>
      <c r="P32" s="102">
        <f>'LQ ADHB'!L32</f>
        <v>0.4978382558</v>
      </c>
      <c r="Q32" s="102">
        <f>'LQ ADHB'!M32</f>
        <v>0.4983666495</v>
      </c>
      <c r="R32" s="97" t="str">
        <f t="shared" si="7"/>
        <v>Potensial</v>
      </c>
      <c r="S32" s="131" t="str">
        <f t="shared" si="8"/>
        <v>Kuadran III</v>
      </c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</row>
    <row r="33">
      <c r="A33" s="94" t="s">
        <v>17</v>
      </c>
      <c r="B33" s="126"/>
      <c r="C33" s="129">
        <f t="shared" ref="C33:E33" si="24">(C10-B10)/B10</f>
        <v>0.1947123489</v>
      </c>
      <c r="D33" s="129">
        <f t="shared" si="24"/>
        <v>0.1132201129</v>
      </c>
      <c r="E33" s="129">
        <f t="shared" si="24"/>
        <v>0.05768276297</v>
      </c>
      <c r="F33" s="101"/>
      <c r="G33" s="130">
        <f t="shared" ref="G33:I33" si="25">(AA10-Z10)/Z10</f>
        <v>0.2108147586</v>
      </c>
      <c r="H33" s="130">
        <f t="shared" si="25"/>
        <v>0.1091063445</v>
      </c>
      <c r="I33" s="130">
        <f t="shared" si="25"/>
        <v>0.06611512907</v>
      </c>
      <c r="J33" s="101"/>
      <c r="K33" s="101">
        <f t="shared" ref="K33:M33" si="26">C33/G33</f>
        <v>0.9236182047</v>
      </c>
      <c r="L33" s="101">
        <f t="shared" si="26"/>
        <v>1.037704209</v>
      </c>
      <c r="M33" s="101">
        <f t="shared" si="26"/>
        <v>0.8724593567</v>
      </c>
      <c r="N33" s="102"/>
      <c r="O33" s="102">
        <f>'LQ ADHB'!K33</f>
        <v>1.231332707</v>
      </c>
      <c r="P33" s="102">
        <f>'LQ ADHB'!L33</f>
        <v>1.106611009</v>
      </c>
      <c r="Q33" s="102">
        <f>'LQ ADHB'!M33</f>
        <v>1.069923794</v>
      </c>
      <c r="R33" s="97" t="str">
        <f t="shared" si="7"/>
        <v>Maju Tertekan</v>
      </c>
      <c r="S33" s="131" t="str">
        <f t="shared" si="8"/>
        <v>Kuadran II</v>
      </c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</row>
    <row r="34">
      <c r="A34" s="94" t="s">
        <v>18</v>
      </c>
      <c r="B34" s="126"/>
      <c r="C34" s="129">
        <f t="shared" ref="C34:E34" si="27">(C11-B11)/B11</f>
        <v>0.1250430549</v>
      </c>
      <c r="D34" s="129">
        <f t="shared" si="27"/>
        <v>0.114676785</v>
      </c>
      <c r="E34" s="129">
        <f t="shared" si="27"/>
        <v>0.1061115624</v>
      </c>
      <c r="F34" s="101"/>
      <c r="G34" s="130">
        <f t="shared" ref="G34:I34" si="28">(AA11-Z11)/Z11</f>
        <v>0.1251480234</v>
      </c>
      <c r="H34" s="130">
        <f t="shared" si="28"/>
        <v>0.1020455924</v>
      </c>
      <c r="I34" s="130">
        <f t="shared" si="28"/>
        <v>0.07368396276</v>
      </c>
      <c r="J34" s="101"/>
      <c r="K34" s="101">
        <f t="shared" ref="K34:M34" si="29">C34/G34</f>
        <v>0.9991612449</v>
      </c>
      <c r="L34" s="101">
        <f t="shared" si="29"/>
        <v>1.123779894</v>
      </c>
      <c r="M34" s="101">
        <f t="shared" si="29"/>
        <v>1.440090332</v>
      </c>
      <c r="N34" s="102"/>
      <c r="O34" s="102">
        <f>'LQ ADHB'!K34</f>
        <v>2.43532983</v>
      </c>
      <c r="P34" s="102">
        <f>'LQ ADHB'!L34</f>
        <v>2.37348747</v>
      </c>
      <c r="Q34" s="102">
        <f>'LQ ADHB'!M34</f>
        <v>2.38295559</v>
      </c>
      <c r="R34" s="97" t="str">
        <f t="shared" si="7"/>
        <v>Maju Pesat</v>
      </c>
      <c r="S34" s="131" t="str">
        <f t="shared" si="8"/>
        <v>Kuadran I</v>
      </c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</row>
    <row r="35">
      <c r="A35" s="94" t="s">
        <v>19</v>
      </c>
      <c r="B35" s="126"/>
      <c r="C35" s="129">
        <f t="shared" ref="C35:E35" si="30">(C12-B12)/B12</f>
        <v>0.06073392389</v>
      </c>
      <c r="D35" s="129">
        <f t="shared" si="30"/>
        <v>0.04533607803</v>
      </c>
      <c r="E35" s="129">
        <f t="shared" si="30"/>
        <v>0.0594317716</v>
      </c>
      <c r="F35" s="101"/>
      <c r="G35" s="130">
        <f t="shared" ref="G35:I35" si="31">(AA12-Z12)/Z12</f>
        <v>0.08493867704</v>
      </c>
      <c r="H35" s="130">
        <f t="shared" si="31"/>
        <v>0.07367100124</v>
      </c>
      <c r="I35" s="130">
        <f t="shared" si="31"/>
        <v>0.04315971593</v>
      </c>
      <c r="J35" s="101"/>
      <c r="K35" s="101">
        <f t="shared" ref="K35:M35" si="32">C35/G35</f>
        <v>0.7150326095</v>
      </c>
      <c r="L35" s="101">
        <f t="shared" si="32"/>
        <v>0.6153856642</v>
      </c>
      <c r="M35" s="101">
        <f t="shared" si="32"/>
        <v>1.377019527</v>
      </c>
      <c r="N35" s="102"/>
      <c r="O35" s="102">
        <f>'LQ ADHB'!K35</f>
        <v>1.717095966</v>
      </c>
      <c r="P35" s="102">
        <f>'LQ ADHB'!L35</f>
        <v>1.670565524</v>
      </c>
      <c r="Q35" s="102">
        <f>'LQ ADHB'!M35</f>
        <v>1.653454466</v>
      </c>
      <c r="R35" s="97" t="str">
        <f t="shared" si="7"/>
        <v>Maju Pesat</v>
      </c>
      <c r="S35" s="131" t="str">
        <f t="shared" si="8"/>
        <v>Kuadran I</v>
      </c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</row>
    <row r="36">
      <c r="A36" s="94" t="s">
        <v>20</v>
      </c>
      <c r="B36" s="126"/>
      <c r="C36" s="129">
        <f t="shared" ref="C36:E36" si="33">(C13-B13)/B13</f>
        <v>0.1241964128</v>
      </c>
      <c r="D36" s="129">
        <f t="shared" si="33"/>
        <v>0.07441581224</v>
      </c>
      <c r="E36" s="129">
        <f t="shared" si="33"/>
        <v>0.03773687821</v>
      </c>
      <c r="F36" s="101"/>
      <c r="G36" s="130">
        <f t="shared" ref="G36:I36" si="34">(AA13-Z13)/Z13</f>
        <v>0.0720112426</v>
      </c>
      <c r="H36" s="130">
        <f t="shared" si="34"/>
        <v>0.05963074632</v>
      </c>
      <c r="I36" s="130">
        <f t="shared" si="34"/>
        <v>0.01951901577</v>
      </c>
      <c r="J36" s="101"/>
      <c r="K36" s="101">
        <f t="shared" ref="K36:M36" si="35">C36/G36</f>
        <v>1.724680873</v>
      </c>
      <c r="L36" s="101">
        <f t="shared" si="35"/>
        <v>1.247943667</v>
      </c>
      <c r="M36" s="101">
        <f t="shared" si="35"/>
        <v>1.933339194</v>
      </c>
      <c r="N36" s="102"/>
      <c r="O36" s="102">
        <f>'LQ ADHB'!K36</f>
        <v>0.7997382584</v>
      </c>
      <c r="P36" s="102">
        <f>'LQ ADHB'!L36</f>
        <v>0.8200791957</v>
      </c>
      <c r="Q36" s="102">
        <f>'LQ ADHB'!M36</f>
        <v>0.8134938126</v>
      </c>
      <c r="R36" s="97" t="str">
        <f t="shared" si="7"/>
        <v>Potensial</v>
      </c>
      <c r="S36" s="131" t="str">
        <f t="shared" si="8"/>
        <v>Kuadran III</v>
      </c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</row>
    <row r="37">
      <c r="A37" s="94" t="s">
        <v>21</v>
      </c>
      <c r="B37" s="126"/>
      <c r="C37" s="129">
        <f t="shared" ref="C37:E37" si="36">(C14-B14)/B14</f>
        <v>0.06563693804</v>
      </c>
      <c r="D37" s="129">
        <f t="shared" si="36"/>
        <v>0.05111942394</v>
      </c>
      <c r="E37" s="129">
        <f t="shared" si="36"/>
        <v>0.07511056107</v>
      </c>
      <c r="F37" s="101"/>
      <c r="G37" s="130">
        <f t="shared" ref="G37:I37" si="37">(AA14-Z14)/Z14</f>
        <v>0.05147334241</v>
      </c>
      <c r="H37" s="130">
        <f t="shared" si="37"/>
        <v>0.04197070685</v>
      </c>
      <c r="I37" s="130">
        <f t="shared" si="37"/>
        <v>0.03807900169</v>
      </c>
      <c r="J37" s="101"/>
      <c r="K37" s="101">
        <f t="shared" ref="K37:M37" si="38">C37/G37</f>
        <v>1.275163706</v>
      </c>
      <c r="L37" s="101">
        <f t="shared" si="38"/>
        <v>1.217978628</v>
      </c>
      <c r="M37" s="101">
        <f t="shared" si="38"/>
        <v>1.972492916</v>
      </c>
      <c r="N37" s="102"/>
      <c r="O37" s="102">
        <f>'LQ ADHB'!K37</f>
        <v>2.003823631</v>
      </c>
      <c r="P37" s="102">
        <f>'LQ ADHB'!L37</f>
        <v>2.084237479</v>
      </c>
      <c r="Q37" s="102">
        <f>'LQ ADHB'!M37</f>
        <v>2.103664424</v>
      </c>
      <c r="R37" s="97" t="str">
        <f t="shared" si="7"/>
        <v>Maju Pesat</v>
      </c>
      <c r="S37" s="131" t="str">
        <f t="shared" si="8"/>
        <v>Kuadran I</v>
      </c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</row>
    <row r="38">
      <c r="A38" s="94" t="s">
        <v>22</v>
      </c>
      <c r="B38" s="126"/>
      <c r="C38" s="129">
        <f t="shared" ref="C38:E38" si="39">(C15-B15)/B15</f>
        <v>0.1242244045</v>
      </c>
      <c r="D38" s="129">
        <f t="shared" si="39"/>
        <v>0.07595292928</v>
      </c>
      <c r="E38" s="129">
        <f t="shared" si="39"/>
        <v>0.06423942865</v>
      </c>
      <c r="F38" s="101"/>
      <c r="G38" s="130">
        <f t="shared" ref="G38:I38" si="40">(AA15-Z15)/Z15</f>
        <v>0.1134715628</v>
      </c>
      <c r="H38" s="130">
        <f t="shared" si="40"/>
        <v>0.07273016089</v>
      </c>
      <c r="I38" s="130">
        <f t="shared" si="40"/>
        <v>0.01950610979</v>
      </c>
      <c r="J38" s="101"/>
      <c r="K38" s="101">
        <f t="shared" ref="K38:M38" si="41">C38/G38</f>
        <v>1.094762436</v>
      </c>
      <c r="L38" s="101">
        <f t="shared" si="41"/>
        <v>1.044311306</v>
      </c>
      <c r="M38" s="101">
        <f t="shared" si="41"/>
        <v>3.293297811</v>
      </c>
      <c r="N38" s="102"/>
      <c r="O38" s="102">
        <f>'LQ ADHB'!K38</f>
        <v>0.3258034694</v>
      </c>
      <c r="P38" s="102">
        <f>'LQ ADHB'!L38</f>
        <v>0.3181769963</v>
      </c>
      <c r="Q38" s="102">
        <f>'LQ ADHB'!M38</f>
        <v>0.3236866808</v>
      </c>
      <c r="R38" s="97" t="str">
        <f t="shared" si="7"/>
        <v>Potensial</v>
      </c>
      <c r="S38" s="131" t="str">
        <f t="shared" si="8"/>
        <v>Kuadran III</v>
      </c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</row>
    <row r="39">
      <c r="A39" s="93" t="s">
        <v>23</v>
      </c>
      <c r="B39" s="126"/>
      <c r="C39" s="129">
        <f t="shared" ref="C39:E39" si="42">(C16-B16)/B16</f>
        <v>0.04471359269</v>
      </c>
      <c r="D39" s="129">
        <f t="shared" si="42"/>
        <v>0.07699133908</v>
      </c>
      <c r="E39" s="129">
        <f t="shared" si="42"/>
        <v>0.0508531417</v>
      </c>
      <c r="F39" s="101"/>
      <c r="G39" s="130">
        <f t="shared" ref="G39:I39" si="43">(AA16-Z16)/Z16</f>
        <v>0.03187960089</v>
      </c>
      <c r="H39" s="130">
        <f t="shared" si="43"/>
        <v>0.08984809365</v>
      </c>
      <c r="I39" s="130">
        <f t="shared" si="43"/>
        <v>0.02535942227</v>
      </c>
      <c r="J39" s="101"/>
      <c r="K39" s="101">
        <f t="shared" ref="K39:M39" si="44">C39/G39</f>
        <v>1.402576928</v>
      </c>
      <c r="L39" s="101">
        <f t="shared" si="44"/>
        <v>0.8569056498</v>
      </c>
      <c r="M39" s="101">
        <f t="shared" si="44"/>
        <v>2.00529575</v>
      </c>
      <c r="N39" s="102"/>
      <c r="O39" s="102">
        <f>'LQ ADHB'!K39</f>
        <v>2.572220397</v>
      </c>
      <c r="P39" s="102">
        <f>'LQ ADHB'!L39</f>
        <v>2.670636712</v>
      </c>
      <c r="Q39" s="102">
        <f>'LQ ADHB'!M39</f>
        <v>2.66739452</v>
      </c>
      <c r="R39" s="97" t="str">
        <f t="shared" si="7"/>
        <v>Maju Pesat</v>
      </c>
      <c r="S39" s="131" t="str">
        <f t="shared" si="8"/>
        <v>Kuadran I</v>
      </c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</row>
    <row r="40">
      <c r="A40" s="94" t="s">
        <v>24</v>
      </c>
      <c r="B40" s="126"/>
      <c r="C40" s="129">
        <f t="shared" ref="C40:E40" si="45">(C17-B17)/B17</f>
        <v>0.09336232144</v>
      </c>
      <c r="D40" s="129">
        <f t="shared" si="45"/>
        <v>0.05354909067</v>
      </c>
      <c r="E40" s="129">
        <f t="shared" si="45"/>
        <v>0.06386563011</v>
      </c>
      <c r="F40" s="101"/>
      <c r="G40" s="130">
        <f t="shared" ref="G40:I40" si="46">(AA17-Z17)/Z17</f>
        <v>0.0488412087</v>
      </c>
      <c r="H40" s="130">
        <f t="shared" si="46"/>
        <v>0.07317663798</v>
      </c>
      <c r="I40" s="130">
        <f t="shared" si="46"/>
        <v>0.05255606984</v>
      </c>
      <c r="J40" s="101"/>
      <c r="K40" s="101">
        <f t="shared" ref="K40:M40" si="47">C40/G40</f>
        <v>1.911548136</v>
      </c>
      <c r="L40" s="101">
        <f t="shared" si="47"/>
        <v>0.7317785039</v>
      </c>
      <c r="M40" s="101">
        <f t="shared" si="47"/>
        <v>1.215190373</v>
      </c>
      <c r="N40" s="102"/>
      <c r="O40" s="102">
        <f>'LQ ADHB'!K40</f>
        <v>2.264997959</v>
      </c>
      <c r="P40" s="102">
        <f>'LQ ADHB'!L40</f>
        <v>2.298428835</v>
      </c>
      <c r="Q40" s="102">
        <f>'LQ ADHB'!M40</f>
        <v>2.264014163</v>
      </c>
      <c r="R40" s="97" t="str">
        <f t="shared" si="7"/>
        <v>Maju Pesat</v>
      </c>
      <c r="S40" s="131" t="str">
        <f t="shared" si="8"/>
        <v>Kuadran I</v>
      </c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</row>
    <row r="41">
      <c r="A41" s="94" t="s">
        <v>25</v>
      </c>
      <c r="B41" s="126"/>
      <c r="C41" s="129">
        <f t="shared" ref="C41:E41" si="48">(C18-B18)/B18</f>
        <v>0.1282578488</v>
      </c>
      <c r="D41" s="129">
        <f t="shared" si="48"/>
        <v>0.08023948165</v>
      </c>
      <c r="E41" s="129">
        <f t="shared" si="48"/>
        <v>0.08564863305</v>
      </c>
      <c r="F41" s="101"/>
      <c r="G41" s="130">
        <f t="shared" ref="G41:I41" si="49">(AA18-Z18)/Z18</f>
        <v>-0.001276384142</v>
      </c>
      <c r="H41" s="130">
        <f t="shared" si="49"/>
        <v>0.1707222858</v>
      </c>
      <c r="I41" s="130">
        <f t="shared" si="49"/>
        <v>0.04456862039</v>
      </c>
      <c r="J41" s="101"/>
      <c r="K41" s="101">
        <f t="shared" ref="K41:M41" si="50">C41/G41</f>
        <v>-100.4853041</v>
      </c>
      <c r="L41" s="101">
        <f t="shared" si="50"/>
        <v>0.4700000429</v>
      </c>
      <c r="M41" s="101">
        <f t="shared" si="50"/>
        <v>1.921725023</v>
      </c>
      <c r="N41" s="102"/>
      <c r="O41" s="102">
        <f>'LQ ADHB'!K41</f>
        <v>2.488058248</v>
      </c>
      <c r="P41" s="102">
        <f>'LQ ADHB'!L41</f>
        <v>2.492130651</v>
      </c>
      <c r="Q41" s="102">
        <f>'LQ ADHB'!M41</f>
        <v>2.524234283</v>
      </c>
      <c r="R41" s="97" t="str">
        <f t="shared" si="7"/>
        <v>Maju Pesat</v>
      </c>
      <c r="S41" s="131" t="str">
        <f t="shared" si="8"/>
        <v>Kuadran I</v>
      </c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</row>
    <row r="42">
      <c r="A42" s="94" t="s">
        <v>26</v>
      </c>
      <c r="B42" s="126"/>
      <c r="C42" s="129">
        <f t="shared" ref="C42:E42" si="51">(C19-B19)/B19</f>
        <v>0.1211518586</v>
      </c>
      <c r="D42" s="129">
        <f t="shared" si="51"/>
        <v>0.04811657389</v>
      </c>
      <c r="E42" s="129">
        <f t="shared" si="51"/>
        <v>0.114891692</v>
      </c>
      <c r="F42" s="101"/>
      <c r="G42" s="130">
        <f t="shared" ref="G42:I42" si="52">(AA19-Z19)/Z19</f>
        <v>0.147301537</v>
      </c>
      <c r="H42" s="130">
        <f t="shared" si="52"/>
        <v>0.09002749378</v>
      </c>
      <c r="I42" s="130">
        <f t="shared" si="52"/>
        <v>-0.0841790481</v>
      </c>
      <c r="J42" s="101"/>
      <c r="K42" s="101">
        <f t="shared" ref="K42:M42" si="53">C42/G42</f>
        <v>0.8224751829</v>
      </c>
      <c r="L42" s="101">
        <f t="shared" si="53"/>
        <v>0.5344653268</v>
      </c>
      <c r="M42" s="101">
        <f t="shared" si="53"/>
        <v>-1.364849029</v>
      </c>
      <c r="N42" s="102"/>
      <c r="O42" s="102">
        <f>'LQ ADHB'!K42</f>
        <v>1.231329381</v>
      </c>
      <c r="P42" s="102">
        <f>'LQ ADHB'!L42</f>
        <v>1.118814858</v>
      </c>
      <c r="Q42" s="102">
        <f>'LQ ADHB'!M42</f>
        <v>1.327354324</v>
      </c>
      <c r="R42" s="97" t="str">
        <f t="shared" si="7"/>
        <v>Maju Tertekan</v>
      </c>
      <c r="S42" s="131" t="str">
        <f t="shared" si="8"/>
        <v>Kuadran II</v>
      </c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</row>
    <row r="43">
      <c r="A43" s="105" t="s">
        <v>27</v>
      </c>
      <c r="B43" s="101"/>
      <c r="C43" s="129">
        <f t="shared" ref="C43:E43" si="54">(C20-B20)/B20</f>
        <v>0.09064367783</v>
      </c>
      <c r="D43" s="129">
        <f t="shared" si="54"/>
        <v>0.07090348687</v>
      </c>
      <c r="E43" s="129">
        <f t="shared" si="54"/>
        <v>0.0752826679</v>
      </c>
      <c r="F43" s="101"/>
      <c r="G43" s="130">
        <f t="shared" ref="G43:I43" si="55">(AA20-Z20)/Z20</f>
        <v>0.08190100782</v>
      </c>
      <c r="H43" s="130">
        <f t="shared" si="55"/>
        <v>0.07312973656</v>
      </c>
      <c r="I43" s="130">
        <f t="shared" si="55"/>
        <v>0.04792254781</v>
      </c>
      <c r="J43" s="101"/>
      <c r="K43" s="101">
        <f t="shared" ref="K43:M43" si="56">C43/G43</f>
        <v>1.106746794</v>
      </c>
      <c r="L43" s="101">
        <f t="shared" si="56"/>
        <v>0.9695575317</v>
      </c>
      <c r="M43" s="101">
        <f t="shared" si="56"/>
        <v>1.570923737</v>
      </c>
      <c r="N43" s="106"/>
      <c r="O43" s="102">
        <f>'LQ ADHB'!K43</f>
        <v>1</v>
      </c>
      <c r="P43" s="102">
        <f>'LQ ADHB'!L43</f>
        <v>1</v>
      </c>
      <c r="Q43" s="102">
        <f>'LQ ADHB'!M43</f>
        <v>1</v>
      </c>
      <c r="R43" s="103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</row>
    <row r="44">
      <c r="A44" s="36"/>
      <c r="B44" s="96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</row>
    <row r="45">
      <c r="A45" s="36"/>
      <c r="B45" s="96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>
      <c r="A46" s="36"/>
      <c r="B46" s="96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</row>
    <row r="47">
      <c r="A47" s="36"/>
      <c r="B47" s="96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</row>
    <row r="48">
      <c r="A48" s="36"/>
      <c r="B48" s="96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</row>
    <row r="49">
      <c r="A49" s="36"/>
      <c r="B49" s="96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</row>
    <row r="50">
      <c r="A50" s="36"/>
      <c r="B50" s="96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</row>
    <row r="51">
      <c r="A51" s="36"/>
      <c r="B51" s="96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</row>
    <row r="52">
      <c r="A52" s="36"/>
      <c r="B52" s="96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</row>
    <row r="53">
      <c r="A53" s="36"/>
      <c r="B53" s="96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</row>
    <row r="54">
      <c r="A54" s="36"/>
      <c r="B54" s="96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</row>
    <row r="55">
      <c r="A55" s="36"/>
      <c r="B55" s="96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</row>
    <row r="56">
      <c r="A56" s="36"/>
      <c r="B56" s="96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</row>
    <row r="57">
      <c r="A57" s="36"/>
      <c r="B57" s="96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</row>
    <row r="58">
      <c r="A58" s="36"/>
      <c r="B58" s="96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</row>
    <row r="59">
      <c r="A59" s="36"/>
      <c r="B59" s="96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</row>
    <row r="60">
      <c r="A60" s="36"/>
      <c r="B60" s="96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</row>
    <row r="61">
      <c r="A61" s="36"/>
      <c r="B61" s="96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</row>
    <row r="62">
      <c r="A62" s="36"/>
      <c r="B62" s="96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</row>
    <row r="63">
      <c r="A63" s="36"/>
      <c r="B63" s="96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</row>
    <row r="64">
      <c r="A64" s="36"/>
      <c r="B64" s="96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</row>
    <row r="65">
      <c r="A65" s="36"/>
      <c r="B65" s="96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</row>
    <row r="66">
      <c r="A66" s="36"/>
      <c r="B66" s="96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</row>
    <row r="67">
      <c r="A67" s="36"/>
      <c r="B67" s="96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</row>
    <row r="68">
      <c r="A68" s="36"/>
      <c r="B68" s="96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</row>
    <row r="69">
      <c r="A69" s="36"/>
      <c r="B69" s="96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</row>
    <row r="70">
      <c r="A70" s="36"/>
      <c r="B70" s="96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</row>
    <row r="71">
      <c r="A71" s="36"/>
      <c r="B71" s="96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</row>
    <row r="72">
      <c r="A72" s="36"/>
      <c r="B72" s="96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</row>
    <row r="73">
      <c r="A73" s="36"/>
      <c r="B73" s="96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</row>
    <row r="74">
      <c r="A74" s="36"/>
      <c r="B74" s="96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</row>
    <row r="75">
      <c r="A75" s="36"/>
      <c r="B75" s="96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</row>
    <row r="76">
      <c r="A76" s="36"/>
      <c r="B76" s="96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</row>
    <row r="77">
      <c r="A77" s="36"/>
      <c r="B77" s="96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</row>
    <row r="78">
      <c r="A78" s="36"/>
      <c r="B78" s="96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</row>
    <row r="79">
      <c r="A79" s="36"/>
      <c r="B79" s="96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</row>
    <row r="80">
      <c r="A80" s="36"/>
      <c r="B80" s="96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</row>
    <row r="81">
      <c r="A81" s="36"/>
      <c r="B81" s="96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</row>
    <row r="82">
      <c r="A82" s="36"/>
      <c r="B82" s="96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</row>
    <row r="83">
      <c r="A83" s="36"/>
      <c r="B83" s="96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</row>
    <row r="84">
      <c r="A84" s="36"/>
      <c r="B84" s="96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</row>
    <row r="85">
      <c r="A85" s="36"/>
      <c r="B85" s="96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</row>
    <row r="86">
      <c r="A86" s="36"/>
      <c r="B86" s="96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</row>
    <row r="87">
      <c r="A87" s="36"/>
      <c r="B87" s="96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</row>
    <row r="88">
      <c r="A88" s="36"/>
      <c r="B88" s="96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</row>
    <row r="89">
      <c r="A89" s="36"/>
      <c r="B89" s="96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</row>
    <row r="90">
      <c r="A90" s="36"/>
      <c r="B90" s="96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</row>
    <row r="91">
      <c r="A91" s="36"/>
      <c r="B91" s="96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</row>
    <row r="92">
      <c r="A92" s="36"/>
      <c r="B92" s="96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</row>
    <row r="93">
      <c r="A93" s="36"/>
      <c r="B93" s="96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</row>
    <row r="94">
      <c r="A94" s="36"/>
      <c r="B94" s="96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</row>
    <row r="95">
      <c r="A95" s="36"/>
      <c r="B95" s="96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</row>
    <row r="96">
      <c r="A96" s="36"/>
      <c r="B96" s="96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</row>
    <row r="97">
      <c r="A97" s="36"/>
      <c r="B97" s="96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</row>
    <row r="98">
      <c r="A98" s="36"/>
      <c r="B98" s="96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</row>
    <row r="99">
      <c r="A99" s="36"/>
      <c r="B99" s="96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</row>
    <row r="100">
      <c r="A100" s="36"/>
      <c r="B100" s="96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</row>
    <row r="101">
      <c r="A101" s="36"/>
      <c r="B101" s="96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</row>
    <row r="102">
      <c r="A102" s="36"/>
      <c r="B102" s="96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</row>
    <row r="103">
      <c r="A103" s="36"/>
      <c r="B103" s="96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</row>
    <row r="104">
      <c r="A104" s="36"/>
      <c r="B104" s="96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</row>
    <row r="105">
      <c r="A105" s="36"/>
      <c r="B105" s="96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</row>
    <row r="106">
      <c r="A106" s="36"/>
      <c r="B106" s="96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</row>
    <row r="107">
      <c r="A107" s="36"/>
      <c r="B107" s="96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</row>
    <row r="108">
      <c r="A108" s="36"/>
      <c r="B108" s="96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</row>
    <row r="109">
      <c r="A109" s="36"/>
      <c r="B109" s="96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</row>
    <row r="110">
      <c r="A110" s="36"/>
      <c r="B110" s="96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</row>
    <row r="111">
      <c r="A111" s="36"/>
      <c r="B111" s="96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</row>
    <row r="112">
      <c r="A112" s="36"/>
      <c r="B112" s="96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</row>
    <row r="113">
      <c r="A113" s="36"/>
      <c r="B113" s="96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</row>
    <row r="114">
      <c r="A114" s="36"/>
      <c r="B114" s="96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</row>
    <row r="115">
      <c r="A115" s="36"/>
      <c r="B115" s="96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</row>
    <row r="116">
      <c r="A116" s="36"/>
      <c r="B116" s="96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</row>
    <row r="117">
      <c r="A117" s="36"/>
      <c r="B117" s="96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</row>
    <row r="118">
      <c r="A118" s="36"/>
      <c r="B118" s="96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</row>
    <row r="119">
      <c r="A119" s="36"/>
      <c r="B119" s="96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</row>
    <row r="120">
      <c r="A120" s="36"/>
      <c r="B120" s="96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</row>
    <row r="121">
      <c r="A121" s="36"/>
      <c r="B121" s="96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</row>
    <row r="122">
      <c r="A122" s="36"/>
      <c r="B122" s="96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</row>
    <row r="123">
      <c r="A123" s="36"/>
      <c r="B123" s="96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</row>
    <row r="124">
      <c r="A124" s="36"/>
      <c r="B124" s="96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</row>
    <row r="125">
      <c r="A125" s="36"/>
      <c r="B125" s="96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</row>
    <row r="126">
      <c r="A126" s="36"/>
      <c r="B126" s="96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</row>
    <row r="127">
      <c r="A127" s="36"/>
      <c r="B127" s="96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</row>
    <row r="128">
      <c r="A128" s="36"/>
      <c r="B128" s="96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</row>
    <row r="129">
      <c r="A129" s="36"/>
      <c r="B129" s="96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</row>
    <row r="130">
      <c r="A130" s="36"/>
      <c r="B130" s="96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</row>
    <row r="131">
      <c r="A131" s="36"/>
      <c r="B131" s="96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</row>
    <row r="132">
      <c r="A132" s="36"/>
      <c r="B132" s="96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</row>
    <row r="133">
      <c r="A133" s="36"/>
      <c r="B133" s="96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</row>
    <row r="134">
      <c r="A134" s="36"/>
      <c r="B134" s="96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</row>
    <row r="135">
      <c r="A135" s="36"/>
      <c r="B135" s="96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</row>
    <row r="136">
      <c r="A136" s="36"/>
      <c r="B136" s="96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</row>
    <row r="137">
      <c r="A137" s="36"/>
      <c r="B137" s="96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</row>
    <row r="138">
      <c r="A138" s="36"/>
      <c r="B138" s="96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</row>
    <row r="139">
      <c r="A139" s="36"/>
      <c r="B139" s="96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</row>
    <row r="140">
      <c r="A140" s="36"/>
      <c r="B140" s="96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</row>
    <row r="141">
      <c r="A141" s="36"/>
      <c r="B141" s="96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</row>
    <row r="142">
      <c r="A142" s="36"/>
      <c r="B142" s="96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</row>
    <row r="143">
      <c r="A143" s="36"/>
      <c r="B143" s="96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</row>
    <row r="144">
      <c r="A144" s="36"/>
      <c r="B144" s="96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</row>
    <row r="145">
      <c r="A145" s="36"/>
      <c r="B145" s="96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</row>
    <row r="146">
      <c r="A146" s="36"/>
      <c r="B146" s="96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</row>
    <row r="147">
      <c r="A147" s="36"/>
      <c r="B147" s="96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</row>
    <row r="148">
      <c r="A148" s="36"/>
      <c r="B148" s="96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</row>
    <row r="149">
      <c r="A149" s="36"/>
      <c r="B149" s="96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</row>
    <row r="150">
      <c r="A150" s="36"/>
      <c r="B150" s="96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</row>
    <row r="151">
      <c r="A151" s="36"/>
      <c r="B151" s="96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</row>
    <row r="152">
      <c r="A152" s="36"/>
      <c r="B152" s="96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</row>
    <row r="153">
      <c r="A153" s="36"/>
      <c r="B153" s="96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</row>
    <row r="154">
      <c r="A154" s="36"/>
      <c r="B154" s="96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</row>
    <row r="155">
      <c r="A155" s="36"/>
      <c r="B155" s="96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</row>
    <row r="156">
      <c r="A156" s="36"/>
      <c r="B156" s="96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</row>
    <row r="157">
      <c r="A157" s="36"/>
      <c r="B157" s="96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</row>
    <row r="158">
      <c r="A158" s="36"/>
      <c r="B158" s="96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</row>
    <row r="159">
      <c r="A159" s="36"/>
      <c r="B159" s="96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</row>
    <row r="160">
      <c r="A160" s="36"/>
      <c r="B160" s="96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</row>
    <row r="161">
      <c r="A161" s="36"/>
      <c r="B161" s="96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</row>
    <row r="162">
      <c r="A162" s="36"/>
      <c r="B162" s="96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</row>
    <row r="163">
      <c r="A163" s="36"/>
      <c r="B163" s="96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</row>
    <row r="164">
      <c r="A164" s="36"/>
      <c r="B164" s="96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</row>
    <row r="165">
      <c r="A165" s="36"/>
      <c r="B165" s="96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</row>
    <row r="166">
      <c r="A166" s="36"/>
      <c r="B166" s="96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</row>
    <row r="167">
      <c r="A167" s="36"/>
      <c r="B167" s="96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</row>
    <row r="168">
      <c r="A168" s="36"/>
      <c r="B168" s="96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</row>
    <row r="169">
      <c r="A169" s="36"/>
      <c r="B169" s="96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</row>
    <row r="170">
      <c r="A170" s="36"/>
      <c r="B170" s="96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</row>
    <row r="171">
      <c r="A171" s="36"/>
      <c r="B171" s="96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</row>
    <row r="172">
      <c r="A172" s="36"/>
      <c r="B172" s="96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</row>
    <row r="173">
      <c r="A173" s="36"/>
      <c r="B173" s="96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</row>
    <row r="174">
      <c r="A174" s="36"/>
      <c r="B174" s="96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</row>
    <row r="175">
      <c r="A175" s="36"/>
      <c r="B175" s="96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</row>
    <row r="176">
      <c r="A176" s="36"/>
      <c r="B176" s="96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</row>
    <row r="177">
      <c r="A177" s="36"/>
      <c r="B177" s="96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</row>
    <row r="178">
      <c r="A178" s="36"/>
      <c r="B178" s="96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</row>
    <row r="179">
      <c r="A179" s="36"/>
      <c r="B179" s="96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</row>
    <row r="180">
      <c r="A180" s="36"/>
      <c r="B180" s="96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</row>
    <row r="181">
      <c r="A181" s="36"/>
      <c r="B181" s="96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</row>
    <row r="182">
      <c r="A182" s="36"/>
      <c r="B182" s="96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</row>
    <row r="183">
      <c r="A183" s="36"/>
      <c r="B183" s="96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</row>
    <row r="184">
      <c r="A184" s="36"/>
      <c r="B184" s="96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</row>
    <row r="185">
      <c r="A185" s="36"/>
      <c r="B185" s="96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</row>
    <row r="186">
      <c r="A186" s="36"/>
      <c r="B186" s="96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</row>
    <row r="187">
      <c r="A187" s="36"/>
      <c r="B187" s="96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</row>
    <row r="188">
      <c r="A188" s="36"/>
      <c r="B188" s="96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</row>
    <row r="189">
      <c r="A189" s="36"/>
      <c r="B189" s="96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</row>
    <row r="190">
      <c r="A190" s="36"/>
      <c r="B190" s="96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</row>
    <row r="191">
      <c r="A191" s="36"/>
      <c r="B191" s="96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</row>
    <row r="192">
      <c r="A192" s="36"/>
      <c r="B192" s="96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</row>
    <row r="193">
      <c r="A193" s="36"/>
      <c r="B193" s="96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</row>
    <row r="194">
      <c r="A194" s="36"/>
      <c r="B194" s="96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</row>
    <row r="195">
      <c r="A195" s="36"/>
      <c r="B195" s="96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</row>
    <row r="196">
      <c r="A196" s="36"/>
      <c r="B196" s="96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</row>
    <row r="197">
      <c r="A197" s="36"/>
      <c r="B197" s="96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</row>
    <row r="198">
      <c r="A198" s="36"/>
      <c r="B198" s="96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</row>
    <row r="199">
      <c r="A199" s="36"/>
      <c r="B199" s="96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</row>
    <row r="200">
      <c r="A200" s="36"/>
      <c r="B200" s="96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</row>
    <row r="201">
      <c r="A201" s="36"/>
      <c r="B201" s="96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</row>
    <row r="202">
      <c r="A202" s="36"/>
      <c r="B202" s="96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</row>
    <row r="203">
      <c r="A203" s="36"/>
      <c r="B203" s="96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</row>
    <row r="204">
      <c r="A204" s="36"/>
      <c r="B204" s="96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</row>
    <row r="205">
      <c r="A205" s="36"/>
      <c r="B205" s="96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</row>
    <row r="206">
      <c r="A206" s="36"/>
      <c r="B206" s="96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</row>
    <row r="207">
      <c r="A207" s="36"/>
      <c r="B207" s="96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</row>
    <row r="208">
      <c r="A208" s="36"/>
      <c r="B208" s="96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</row>
    <row r="209">
      <c r="A209" s="36"/>
      <c r="B209" s="96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</row>
    <row r="210">
      <c r="A210" s="36"/>
      <c r="B210" s="96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</row>
    <row r="211">
      <c r="A211" s="36"/>
      <c r="B211" s="96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</row>
    <row r="212">
      <c r="A212" s="36"/>
      <c r="B212" s="96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</row>
    <row r="213">
      <c r="A213" s="36"/>
      <c r="B213" s="96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</row>
    <row r="214">
      <c r="A214" s="36"/>
      <c r="B214" s="96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</row>
    <row r="215">
      <c r="A215" s="36"/>
      <c r="B215" s="96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</row>
    <row r="216">
      <c r="A216" s="36"/>
      <c r="B216" s="96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</row>
    <row r="217">
      <c r="A217" s="36"/>
      <c r="B217" s="96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</row>
    <row r="218">
      <c r="A218" s="36"/>
      <c r="B218" s="96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</row>
    <row r="219">
      <c r="A219" s="36"/>
      <c r="B219" s="96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</row>
    <row r="220">
      <c r="A220" s="36"/>
      <c r="B220" s="96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</row>
    <row r="221">
      <c r="A221" s="36"/>
      <c r="B221" s="96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</row>
    <row r="222">
      <c r="A222" s="36"/>
      <c r="B222" s="96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</row>
    <row r="223">
      <c r="A223" s="36"/>
      <c r="B223" s="96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</row>
    <row r="224">
      <c r="A224" s="36"/>
      <c r="B224" s="96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</row>
    <row r="225">
      <c r="A225" s="36"/>
      <c r="B225" s="96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</row>
    <row r="226">
      <c r="A226" s="36"/>
      <c r="B226" s="96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</row>
    <row r="227">
      <c r="A227" s="36"/>
      <c r="B227" s="96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</row>
    <row r="228">
      <c r="A228" s="36"/>
      <c r="B228" s="96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</row>
    <row r="229">
      <c r="A229" s="36"/>
      <c r="B229" s="96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</row>
    <row r="230">
      <c r="A230" s="36"/>
      <c r="B230" s="96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</row>
    <row r="231">
      <c r="A231" s="36"/>
      <c r="B231" s="96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</row>
    <row r="232">
      <c r="A232" s="36"/>
      <c r="B232" s="96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</row>
    <row r="233">
      <c r="A233" s="36"/>
      <c r="B233" s="96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</row>
    <row r="234">
      <c r="A234" s="36"/>
      <c r="B234" s="96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</row>
    <row r="235">
      <c r="A235" s="36"/>
      <c r="B235" s="96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</row>
    <row r="236">
      <c r="A236" s="36"/>
      <c r="B236" s="96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</row>
    <row r="237">
      <c r="A237" s="36"/>
      <c r="B237" s="96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</row>
    <row r="238">
      <c r="A238" s="36"/>
      <c r="B238" s="96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</row>
    <row r="239">
      <c r="A239" s="36"/>
      <c r="B239" s="96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</row>
    <row r="240">
      <c r="A240" s="36"/>
      <c r="B240" s="96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</row>
    <row r="241">
      <c r="A241" s="36"/>
      <c r="B241" s="96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</row>
    <row r="242">
      <c r="A242" s="36"/>
      <c r="B242" s="96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</row>
    <row r="243">
      <c r="A243" s="36"/>
      <c r="B243" s="96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</row>
    <row r="244">
      <c r="A244" s="36"/>
      <c r="B244" s="96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</row>
    <row r="245">
      <c r="A245" s="36"/>
      <c r="B245" s="96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</row>
    <row r="246">
      <c r="A246" s="36"/>
      <c r="B246" s="96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</row>
    <row r="247">
      <c r="A247" s="36"/>
      <c r="B247" s="96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</row>
    <row r="248">
      <c r="A248" s="36"/>
      <c r="B248" s="96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</row>
    <row r="249">
      <c r="A249" s="36"/>
      <c r="B249" s="96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</row>
    <row r="250">
      <c r="A250" s="36"/>
      <c r="B250" s="96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</row>
    <row r="251">
      <c r="A251" s="36"/>
      <c r="B251" s="96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</row>
    <row r="252">
      <c r="A252" s="36"/>
      <c r="B252" s="96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</row>
    <row r="253">
      <c r="A253" s="36"/>
      <c r="B253" s="96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</row>
    <row r="254">
      <c r="A254" s="36"/>
      <c r="B254" s="96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</row>
    <row r="255">
      <c r="A255" s="36"/>
      <c r="B255" s="96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</row>
    <row r="256">
      <c r="A256" s="36"/>
      <c r="B256" s="96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</row>
    <row r="257">
      <c r="A257" s="36"/>
      <c r="B257" s="96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</row>
    <row r="258">
      <c r="A258" s="36"/>
      <c r="B258" s="96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</row>
    <row r="259">
      <c r="A259" s="36"/>
      <c r="B259" s="96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</row>
    <row r="260">
      <c r="A260" s="36"/>
      <c r="B260" s="96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</row>
    <row r="261">
      <c r="A261" s="36"/>
      <c r="B261" s="96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</row>
    <row r="262">
      <c r="A262" s="36"/>
      <c r="B262" s="96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</row>
    <row r="263">
      <c r="A263" s="36"/>
      <c r="B263" s="96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</row>
    <row r="264">
      <c r="A264" s="36"/>
      <c r="B264" s="96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</row>
    <row r="265">
      <c r="A265" s="36"/>
      <c r="B265" s="96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</row>
    <row r="266">
      <c r="A266" s="36"/>
      <c r="B266" s="96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</row>
    <row r="267">
      <c r="A267" s="36"/>
      <c r="B267" s="96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</row>
    <row r="268">
      <c r="A268" s="36"/>
      <c r="B268" s="96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</row>
    <row r="269">
      <c r="A269" s="36"/>
      <c r="B269" s="96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</row>
    <row r="270">
      <c r="A270" s="36"/>
      <c r="B270" s="96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</row>
    <row r="271">
      <c r="A271" s="36"/>
      <c r="B271" s="96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</row>
    <row r="272">
      <c r="A272" s="36"/>
      <c r="B272" s="96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</row>
    <row r="273">
      <c r="A273" s="36"/>
      <c r="B273" s="96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</row>
    <row r="274">
      <c r="A274" s="36"/>
      <c r="B274" s="96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</row>
    <row r="275">
      <c r="A275" s="36"/>
      <c r="B275" s="96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</row>
    <row r="276">
      <c r="A276" s="36"/>
      <c r="B276" s="96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</row>
    <row r="277">
      <c r="A277" s="36"/>
      <c r="B277" s="96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</row>
    <row r="278">
      <c r="A278" s="36"/>
      <c r="B278" s="96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</row>
    <row r="279">
      <c r="A279" s="36"/>
      <c r="B279" s="96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</row>
    <row r="280">
      <c r="A280" s="36"/>
      <c r="B280" s="96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</row>
    <row r="281">
      <c r="A281" s="36"/>
      <c r="B281" s="96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</row>
    <row r="282">
      <c r="A282" s="36"/>
      <c r="B282" s="96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</row>
    <row r="283">
      <c r="A283" s="36"/>
      <c r="B283" s="96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</row>
    <row r="284">
      <c r="A284" s="36"/>
      <c r="B284" s="96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</row>
    <row r="285">
      <c r="A285" s="36"/>
      <c r="B285" s="96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</row>
    <row r="286">
      <c r="A286" s="36"/>
      <c r="B286" s="96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</row>
    <row r="287">
      <c r="A287" s="36"/>
      <c r="B287" s="96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</row>
    <row r="288">
      <c r="A288" s="36"/>
      <c r="B288" s="96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</row>
    <row r="289">
      <c r="A289" s="36"/>
      <c r="B289" s="96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</row>
    <row r="290">
      <c r="A290" s="36"/>
      <c r="B290" s="96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</row>
    <row r="291">
      <c r="A291" s="36"/>
      <c r="B291" s="96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</row>
    <row r="292">
      <c r="A292" s="36"/>
      <c r="B292" s="96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</row>
    <row r="293">
      <c r="A293" s="36"/>
      <c r="B293" s="96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</row>
    <row r="294">
      <c r="A294" s="36"/>
      <c r="B294" s="96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</row>
    <row r="295">
      <c r="A295" s="36"/>
      <c r="B295" s="96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</row>
    <row r="296">
      <c r="A296" s="36"/>
      <c r="B296" s="96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</row>
    <row r="297">
      <c r="A297" s="36"/>
      <c r="B297" s="96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</row>
    <row r="298">
      <c r="A298" s="36"/>
      <c r="B298" s="96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</row>
    <row r="299">
      <c r="A299" s="36"/>
      <c r="B299" s="96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</row>
    <row r="300">
      <c r="A300" s="36"/>
      <c r="B300" s="96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</row>
    <row r="301">
      <c r="A301" s="36"/>
      <c r="B301" s="96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</row>
    <row r="302">
      <c r="A302" s="36"/>
      <c r="B302" s="96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</row>
    <row r="303">
      <c r="A303" s="36"/>
      <c r="B303" s="96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</row>
    <row r="304">
      <c r="A304" s="36"/>
      <c r="B304" s="96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</row>
    <row r="305">
      <c r="A305" s="36"/>
      <c r="B305" s="96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</row>
    <row r="306">
      <c r="A306" s="36"/>
      <c r="B306" s="96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</row>
    <row r="307">
      <c r="A307" s="36"/>
      <c r="B307" s="96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</row>
    <row r="308">
      <c r="A308" s="36"/>
      <c r="B308" s="96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</row>
    <row r="309">
      <c r="A309" s="36"/>
      <c r="B309" s="96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</row>
    <row r="310">
      <c r="A310" s="36"/>
      <c r="B310" s="96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</row>
    <row r="311">
      <c r="A311" s="36"/>
      <c r="B311" s="96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</row>
    <row r="312">
      <c r="A312" s="36"/>
      <c r="B312" s="96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</row>
    <row r="313">
      <c r="A313" s="36"/>
      <c r="B313" s="96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</row>
    <row r="314">
      <c r="A314" s="36"/>
      <c r="B314" s="96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</row>
    <row r="315">
      <c r="A315" s="36"/>
      <c r="B315" s="96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</row>
    <row r="316">
      <c r="A316" s="36"/>
      <c r="B316" s="96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</row>
    <row r="317">
      <c r="A317" s="36"/>
      <c r="B317" s="96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</row>
    <row r="318">
      <c r="A318" s="36"/>
      <c r="B318" s="96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</row>
    <row r="319">
      <c r="A319" s="36"/>
      <c r="B319" s="96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</row>
    <row r="320">
      <c r="A320" s="36"/>
      <c r="B320" s="96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</row>
    <row r="321">
      <c r="A321" s="36"/>
      <c r="B321" s="96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</row>
    <row r="322">
      <c r="A322" s="36"/>
      <c r="B322" s="96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</row>
    <row r="323">
      <c r="A323" s="36"/>
      <c r="B323" s="96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</row>
    <row r="324">
      <c r="A324" s="36"/>
      <c r="B324" s="96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</row>
    <row r="325">
      <c r="A325" s="36"/>
      <c r="B325" s="96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</row>
    <row r="326">
      <c r="A326" s="36"/>
      <c r="B326" s="96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</row>
    <row r="327">
      <c r="A327" s="36"/>
      <c r="B327" s="96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</row>
    <row r="328">
      <c r="A328" s="36"/>
      <c r="B328" s="96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</row>
    <row r="329">
      <c r="A329" s="36"/>
      <c r="B329" s="96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</row>
    <row r="330">
      <c r="A330" s="36"/>
      <c r="B330" s="96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</row>
    <row r="331">
      <c r="A331" s="36"/>
      <c r="B331" s="96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</row>
    <row r="332">
      <c r="A332" s="36"/>
      <c r="B332" s="96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</row>
    <row r="333">
      <c r="A333" s="36"/>
      <c r="B333" s="96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</row>
    <row r="334">
      <c r="A334" s="36"/>
      <c r="B334" s="96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</row>
    <row r="335">
      <c r="A335" s="36"/>
      <c r="B335" s="96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</row>
    <row r="336">
      <c r="A336" s="36"/>
      <c r="B336" s="96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</row>
    <row r="337">
      <c r="A337" s="36"/>
      <c r="B337" s="96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</row>
    <row r="338">
      <c r="A338" s="36"/>
      <c r="B338" s="96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</row>
    <row r="339">
      <c r="A339" s="36"/>
      <c r="B339" s="96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</row>
    <row r="340">
      <c r="A340" s="36"/>
      <c r="B340" s="96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</row>
    <row r="341">
      <c r="A341" s="36"/>
      <c r="B341" s="96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</row>
    <row r="342">
      <c r="A342" s="36"/>
      <c r="B342" s="96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</row>
    <row r="343">
      <c r="A343" s="36"/>
      <c r="B343" s="96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</row>
    <row r="344">
      <c r="A344" s="36"/>
      <c r="B344" s="96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</row>
    <row r="345">
      <c r="A345" s="36"/>
      <c r="B345" s="96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</row>
    <row r="346">
      <c r="A346" s="36"/>
      <c r="B346" s="96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</row>
    <row r="347">
      <c r="A347" s="36"/>
      <c r="B347" s="96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</row>
    <row r="348">
      <c r="A348" s="36"/>
      <c r="B348" s="96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</row>
    <row r="349">
      <c r="A349" s="36"/>
      <c r="B349" s="96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</row>
    <row r="350">
      <c r="A350" s="36"/>
      <c r="B350" s="96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</row>
    <row r="351">
      <c r="A351" s="36"/>
      <c r="B351" s="96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</row>
    <row r="352">
      <c r="A352" s="36"/>
      <c r="B352" s="96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</row>
    <row r="353">
      <c r="A353" s="36"/>
      <c r="B353" s="96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</row>
    <row r="354">
      <c r="A354" s="36"/>
      <c r="B354" s="96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</row>
    <row r="355">
      <c r="A355" s="36"/>
      <c r="B355" s="96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</row>
    <row r="356">
      <c r="A356" s="36"/>
      <c r="B356" s="96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</row>
    <row r="357">
      <c r="A357" s="36"/>
      <c r="B357" s="96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</row>
    <row r="358">
      <c r="A358" s="36"/>
      <c r="B358" s="96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</row>
    <row r="359">
      <c r="A359" s="36"/>
      <c r="B359" s="96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</row>
    <row r="360">
      <c r="A360" s="36"/>
      <c r="B360" s="96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</row>
    <row r="361">
      <c r="A361" s="36"/>
      <c r="B361" s="96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</row>
    <row r="362">
      <c r="A362" s="36"/>
      <c r="B362" s="96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</row>
    <row r="363">
      <c r="A363" s="36"/>
      <c r="B363" s="96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</row>
    <row r="364">
      <c r="A364" s="36"/>
      <c r="B364" s="96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</row>
    <row r="365">
      <c r="A365" s="36"/>
      <c r="B365" s="96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</row>
    <row r="366">
      <c r="A366" s="36"/>
      <c r="B366" s="96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</row>
    <row r="367">
      <c r="A367" s="36"/>
      <c r="B367" s="96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</row>
    <row r="368">
      <c r="A368" s="36"/>
      <c r="B368" s="96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</row>
    <row r="369">
      <c r="A369" s="36"/>
      <c r="B369" s="96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</row>
    <row r="370">
      <c r="A370" s="36"/>
      <c r="B370" s="96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</row>
    <row r="371">
      <c r="A371" s="36"/>
      <c r="B371" s="96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</row>
    <row r="372">
      <c r="A372" s="36"/>
      <c r="B372" s="96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</row>
    <row r="373">
      <c r="A373" s="36"/>
      <c r="B373" s="96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</row>
    <row r="374">
      <c r="A374" s="36"/>
      <c r="B374" s="96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</row>
    <row r="375">
      <c r="A375" s="36"/>
      <c r="B375" s="96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</row>
    <row r="376">
      <c r="A376" s="36"/>
      <c r="B376" s="96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</row>
    <row r="377">
      <c r="A377" s="36"/>
      <c r="B377" s="96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</row>
    <row r="378">
      <c r="A378" s="36"/>
      <c r="B378" s="96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</row>
    <row r="379">
      <c r="A379" s="36"/>
      <c r="B379" s="96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</row>
    <row r="380">
      <c r="A380" s="36"/>
      <c r="B380" s="96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</row>
    <row r="381">
      <c r="A381" s="36"/>
      <c r="B381" s="96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</row>
    <row r="382">
      <c r="A382" s="36"/>
      <c r="B382" s="96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  <c r="AD382" s="97"/>
    </row>
    <row r="383">
      <c r="A383" s="36"/>
      <c r="B383" s="96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  <c r="AD383" s="97"/>
    </row>
    <row r="384">
      <c r="A384" s="36"/>
      <c r="B384" s="96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  <c r="AD384" s="97"/>
    </row>
    <row r="385">
      <c r="A385" s="36"/>
      <c r="B385" s="96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</row>
    <row r="386">
      <c r="A386" s="36"/>
      <c r="B386" s="96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</row>
    <row r="387">
      <c r="A387" s="36"/>
      <c r="B387" s="96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  <c r="AD387" s="97"/>
    </row>
    <row r="388">
      <c r="A388" s="36"/>
      <c r="B388" s="96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</row>
    <row r="389">
      <c r="A389" s="36"/>
      <c r="B389" s="96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  <c r="AD389" s="97"/>
    </row>
    <row r="390">
      <c r="A390" s="36"/>
      <c r="B390" s="96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  <c r="AD390" s="97"/>
    </row>
    <row r="391">
      <c r="A391" s="36"/>
      <c r="B391" s="96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  <c r="AD391" s="97"/>
    </row>
    <row r="392">
      <c r="A392" s="36"/>
      <c r="B392" s="96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7"/>
    </row>
    <row r="393">
      <c r="A393" s="36"/>
      <c r="B393" s="96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  <c r="AD393" s="97"/>
    </row>
    <row r="394">
      <c r="A394" s="36"/>
      <c r="B394" s="96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</row>
    <row r="395">
      <c r="A395" s="36"/>
      <c r="B395" s="96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  <c r="AD395" s="97"/>
    </row>
    <row r="396">
      <c r="A396" s="36"/>
      <c r="B396" s="96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</row>
    <row r="397">
      <c r="A397" s="36"/>
      <c r="B397" s="96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  <c r="AD397" s="97"/>
    </row>
    <row r="398">
      <c r="A398" s="36"/>
      <c r="B398" s="96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  <c r="AD398" s="97"/>
    </row>
    <row r="399">
      <c r="A399" s="36"/>
      <c r="B399" s="96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</row>
    <row r="400">
      <c r="A400" s="36"/>
      <c r="B400" s="96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  <c r="AD400" s="97"/>
    </row>
    <row r="401">
      <c r="A401" s="36"/>
      <c r="B401" s="96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  <c r="AD401" s="97"/>
    </row>
    <row r="402">
      <c r="A402" s="36"/>
      <c r="B402" s="96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</row>
    <row r="403">
      <c r="A403" s="36"/>
      <c r="B403" s="96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</row>
    <row r="404">
      <c r="A404" s="36"/>
      <c r="B404" s="96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7"/>
    </row>
    <row r="405">
      <c r="A405" s="36"/>
      <c r="B405" s="96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  <c r="AD405" s="97"/>
    </row>
    <row r="406">
      <c r="A406" s="36"/>
      <c r="B406" s="96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</row>
    <row r="407">
      <c r="A407" s="36"/>
      <c r="B407" s="96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  <c r="AD407" s="97"/>
    </row>
    <row r="408">
      <c r="A408" s="36"/>
      <c r="B408" s="96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</row>
    <row r="409">
      <c r="A409" s="36"/>
      <c r="B409" s="96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</row>
    <row r="410">
      <c r="A410" s="36"/>
      <c r="B410" s="96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</row>
    <row r="411">
      <c r="A411" s="36"/>
      <c r="B411" s="96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  <c r="AD411" s="97"/>
    </row>
    <row r="412">
      <c r="A412" s="36"/>
      <c r="B412" s="96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  <c r="AD412" s="97"/>
    </row>
    <row r="413">
      <c r="A413" s="36"/>
      <c r="B413" s="96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  <c r="AD413" s="97"/>
    </row>
    <row r="414">
      <c r="A414" s="36"/>
      <c r="B414" s="96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</row>
    <row r="415">
      <c r="A415" s="36"/>
      <c r="B415" s="96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  <c r="AD415" s="97"/>
    </row>
    <row r="416">
      <c r="A416" s="36"/>
      <c r="B416" s="96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  <c r="AD416" s="97"/>
    </row>
    <row r="417">
      <c r="A417" s="36"/>
      <c r="B417" s="96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  <c r="AD417" s="97"/>
    </row>
    <row r="418">
      <c r="A418" s="36"/>
      <c r="B418" s="96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  <c r="AD418" s="97"/>
    </row>
    <row r="419">
      <c r="A419" s="36"/>
      <c r="B419" s="96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  <c r="AD419" s="97"/>
    </row>
    <row r="420">
      <c r="A420" s="36"/>
      <c r="B420" s="96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</row>
    <row r="421">
      <c r="A421" s="36"/>
      <c r="B421" s="96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  <c r="AD421" s="97"/>
    </row>
    <row r="422">
      <c r="A422" s="36"/>
      <c r="B422" s="96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  <c r="AD422" s="97"/>
    </row>
    <row r="423">
      <c r="A423" s="36"/>
      <c r="B423" s="96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7"/>
    </row>
    <row r="424">
      <c r="A424" s="36"/>
      <c r="B424" s="96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</row>
    <row r="425">
      <c r="A425" s="36"/>
      <c r="B425" s="96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  <c r="AD425" s="97"/>
    </row>
    <row r="426">
      <c r="A426" s="36"/>
      <c r="B426" s="96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  <c r="AD426" s="97"/>
    </row>
    <row r="427">
      <c r="A427" s="36"/>
      <c r="B427" s="96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  <c r="AD427" s="97"/>
    </row>
    <row r="428">
      <c r="A428" s="36"/>
      <c r="B428" s="96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  <c r="AD428" s="97"/>
    </row>
    <row r="429">
      <c r="A429" s="36"/>
      <c r="B429" s="96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  <c r="AD429" s="97"/>
    </row>
    <row r="430">
      <c r="A430" s="36"/>
      <c r="B430" s="96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  <c r="AD430" s="97"/>
    </row>
    <row r="431">
      <c r="A431" s="36"/>
      <c r="B431" s="96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  <c r="AD431" s="97"/>
    </row>
    <row r="432">
      <c r="A432" s="36"/>
      <c r="B432" s="96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  <c r="AD432" s="97"/>
    </row>
    <row r="433">
      <c r="A433" s="36"/>
      <c r="B433" s="96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  <c r="AD433" s="97"/>
    </row>
    <row r="434">
      <c r="A434" s="36"/>
      <c r="B434" s="96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  <c r="AD434" s="97"/>
    </row>
    <row r="435">
      <c r="A435" s="36"/>
      <c r="B435" s="96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</row>
    <row r="436">
      <c r="A436" s="36"/>
      <c r="B436" s="96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</row>
    <row r="437">
      <c r="A437" s="36"/>
      <c r="B437" s="96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</row>
    <row r="438">
      <c r="A438" s="36"/>
      <c r="B438" s="96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</row>
    <row r="439">
      <c r="A439" s="36"/>
      <c r="B439" s="96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  <c r="AD439" s="97"/>
    </row>
    <row r="440">
      <c r="A440" s="36"/>
      <c r="B440" s="96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</row>
    <row r="441">
      <c r="A441" s="36"/>
      <c r="B441" s="96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</row>
    <row r="442">
      <c r="A442" s="36"/>
      <c r="B442" s="96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  <c r="AD442" s="97"/>
    </row>
    <row r="443">
      <c r="A443" s="36"/>
      <c r="B443" s="96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</row>
    <row r="444">
      <c r="A444" s="36"/>
      <c r="B444" s="96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  <c r="AD444" s="97"/>
    </row>
    <row r="445">
      <c r="A445" s="36"/>
      <c r="B445" s="96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  <c r="AD445" s="97"/>
    </row>
    <row r="446">
      <c r="A446" s="36"/>
      <c r="B446" s="96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  <c r="AD446" s="97"/>
    </row>
    <row r="447">
      <c r="A447" s="36"/>
      <c r="B447" s="96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  <c r="AD447" s="97"/>
    </row>
    <row r="448">
      <c r="A448" s="36"/>
      <c r="B448" s="96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  <c r="AD448" s="97"/>
    </row>
    <row r="449">
      <c r="A449" s="36"/>
      <c r="B449" s="96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  <c r="AD449" s="97"/>
    </row>
    <row r="450">
      <c r="A450" s="36"/>
      <c r="B450" s="96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  <c r="AD450" s="97"/>
    </row>
    <row r="451">
      <c r="A451" s="36"/>
      <c r="B451" s="96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  <c r="AD451" s="97"/>
    </row>
    <row r="452">
      <c r="A452" s="36"/>
      <c r="B452" s="96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  <c r="AD452" s="97"/>
    </row>
    <row r="453">
      <c r="A453" s="36"/>
      <c r="B453" s="96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  <c r="AD453" s="97"/>
    </row>
    <row r="454">
      <c r="A454" s="36"/>
      <c r="B454" s="96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  <c r="AD454" s="97"/>
    </row>
    <row r="455">
      <c r="A455" s="36"/>
      <c r="B455" s="96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  <c r="AD455" s="97"/>
    </row>
    <row r="456">
      <c r="A456" s="36"/>
      <c r="B456" s="96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  <c r="AD456" s="97"/>
    </row>
    <row r="457">
      <c r="A457" s="36"/>
      <c r="B457" s="96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  <c r="AD457" s="97"/>
    </row>
    <row r="458">
      <c r="A458" s="36"/>
      <c r="B458" s="96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  <c r="AD458" s="97"/>
    </row>
    <row r="459">
      <c r="A459" s="36"/>
      <c r="B459" s="96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  <c r="AD459" s="97"/>
    </row>
    <row r="460">
      <c r="A460" s="36"/>
      <c r="B460" s="96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  <c r="AD460" s="97"/>
    </row>
    <row r="461">
      <c r="A461" s="36"/>
      <c r="B461" s="96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7"/>
    </row>
    <row r="462">
      <c r="A462" s="36"/>
      <c r="B462" s="96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  <c r="AD462" s="97"/>
    </row>
    <row r="463">
      <c r="A463" s="36"/>
      <c r="B463" s="96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  <c r="AD463" s="97"/>
    </row>
    <row r="464">
      <c r="A464" s="36"/>
      <c r="B464" s="96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  <c r="AD464" s="97"/>
    </row>
    <row r="465">
      <c r="A465" s="36"/>
      <c r="B465" s="96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  <c r="AD465" s="97"/>
    </row>
    <row r="466">
      <c r="A466" s="36"/>
      <c r="B466" s="96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  <c r="AD466" s="97"/>
    </row>
    <row r="467">
      <c r="A467" s="36"/>
      <c r="B467" s="96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  <c r="AD467" s="97"/>
    </row>
    <row r="468">
      <c r="A468" s="36"/>
      <c r="B468" s="96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  <c r="AD468" s="97"/>
    </row>
    <row r="469">
      <c r="A469" s="36"/>
      <c r="B469" s="96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  <c r="AD469" s="97"/>
    </row>
    <row r="470">
      <c r="A470" s="36"/>
      <c r="B470" s="96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  <c r="AD470" s="97"/>
    </row>
    <row r="471">
      <c r="A471" s="36"/>
      <c r="B471" s="96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  <c r="AD471" s="97"/>
    </row>
    <row r="472">
      <c r="A472" s="36"/>
      <c r="B472" s="96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  <c r="AD472" s="97"/>
    </row>
    <row r="473">
      <c r="A473" s="36"/>
      <c r="B473" s="96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  <c r="AD473" s="97"/>
    </row>
    <row r="474">
      <c r="A474" s="36"/>
      <c r="B474" s="96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  <c r="AD474" s="97"/>
    </row>
    <row r="475">
      <c r="A475" s="36"/>
      <c r="B475" s="96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</row>
    <row r="476">
      <c r="A476" s="36"/>
      <c r="B476" s="96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  <c r="AD476" s="97"/>
    </row>
    <row r="477">
      <c r="A477" s="36"/>
      <c r="B477" s="96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</row>
    <row r="478">
      <c r="A478" s="36"/>
      <c r="B478" s="96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</row>
    <row r="479">
      <c r="A479" s="36"/>
      <c r="B479" s="96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</row>
    <row r="480">
      <c r="A480" s="36"/>
      <c r="B480" s="96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</row>
    <row r="481">
      <c r="A481" s="36"/>
      <c r="B481" s="96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</row>
    <row r="482">
      <c r="A482" s="36"/>
      <c r="B482" s="96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</row>
    <row r="483">
      <c r="A483" s="36"/>
      <c r="B483" s="96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</row>
    <row r="484">
      <c r="A484" s="36"/>
      <c r="B484" s="96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</row>
    <row r="485">
      <c r="A485" s="36"/>
      <c r="B485" s="96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</row>
    <row r="486">
      <c r="A486" s="36"/>
      <c r="B486" s="96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</row>
    <row r="487">
      <c r="A487" s="36"/>
      <c r="B487" s="96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</row>
    <row r="488">
      <c r="A488" s="36"/>
      <c r="B488" s="96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  <c r="AD488" s="97"/>
    </row>
    <row r="489">
      <c r="A489" s="36"/>
      <c r="B489" s="96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</row>
    <row r="490">
      <c r="A490" s="36"/>
      <c r="B490" s="96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  <c r="AD490" s="97"/>
    </row>
    <row r="491">
      <c r="A491" s="36"/>
      <c r="B491" s="96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</row>
    <row r="492">
      <c r="A492" s="36"/>
      <c r="B492" s="96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7"/>
    </row>
    <row r="493">
      <c r="A493" s="36"/>
      <c r="B493" s="96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</row>
    <row r="494">
      <c r="A494" s="36"/>
      <c r="B494" s="96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  <c r="AD494" s="97"/>
    </row>
    <row r="495">
      <c r="A495" s="36"/>
      <c r="B495" s="96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</row>
    <row r="496">
      <c r="A496" s="36"/>
      <c r="B496" s="96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  <c r="AD496" s="97"/>
    </row>
    <row r="497">
      <c r="A497" s="36"/>
      <c r="B497" s="96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  <c r="AD497" s="97"/>
    </row>
    <row r="498">
      <c r="A498" s="36"/>
      <c r="B498" s="96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  <c r="AD498" s="97"/>
    </row>
    <row r="499">
      <c r="A499" s="36"/>
      <c r="B499" s="96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</row>
    <row r="500">
      <c r="A500" s="36"/>
      <c r="B500" s="96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  <c r="AD500" s="97"/>
    </row>
    <row r="501">
      <c r="A501" s="36"/>
      <c r="B501" s="96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  <c r="AD501" s="97"/>
    </row>
    <row r="502">
      <c r="A502" s="36"/>
      <c r="B502" s="96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  <c r="AD502" s="97"/>
    </row>
    <row r="503">
      <c r="A503" s="36"/>
      <c r="B503" s="96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  <c r="AD503" s="97"/>
    </row>
    <row r="504">
      <c r="A504" s="36"/>
      <c r="B504" s="96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  <c r="AD504" s="97"/>
    </row>
    <row r="505">
      <c r="A505" s="36"/>
      <c r="B505" s="96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  <c r="AD505" s="97"/>
    </row>
    <row r="506">
      <c r="A506" s="36"/>
      <c r="B506" s="96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  <c r="AD506" s="97"/>
    </row>
    <row r="507">
      <c r="A507" s="36"/>
      <c r="B507" s="96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  <c r="AD507" s="97"/>
    </row>
    <row r="508">
      <c r="A508" s="36"/>
      <c r="B508" s="96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  <c r="AD508" s="97"/>
    </row>
    <row r="509">
      <c r="A509" s="36"/>
      <c r="B509" s="96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</row>
    <row r="510">
      <c r="A510" s="36"/>
      <c r="B510" s="96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  <c r="AD510" s="97"/>
    </row>
    <row r="511">
      <c r="A511" s="36"/>
      <c r="B511" s="96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  <c r="AD511" s="97"/>
    </row>
    <row r="512">
      <c r="A512" s="36"/>
      <c r="B512" s="96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  <c r="AD512" s="97"/>
    </row>
    <row r="513">
      <c r="A513" s="36"/>
      <c r="B513" s="96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  <c r="AD513" s="97"/>
    </row>
    <row r="514">
      <c r="A514" s="36"/>
      <c r="B514" s="96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  <c r="AD514" s="97"/>
    </row>
    <row r="515">
      <c r="A515" s="36"/>
      <c r="B515" s="96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</row>
    <row r="516">
      <c r="A516" s="36"/>
      <c r="B516" s="96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  <c r="AD516" s="97"/>
    </row>
    <row r="517">
      <c r="A517" s="36"/>
      <c r="B517" s="96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  <c r="AD517" s="97"/>
    </row>
    <row r="518">
      <c r="A518" s="36"/>
      <c r="B518" s="96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  <c r="AD518" s="97"/>
    </row>
    <row r="519">
      <c r="A519" s="36"/>
      <c r="B519" s="96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  <c r="AD519" s="97"/>
    </row>
    <row r="520">
      <c r="A520" s="36"/>
      <c r="B520" s="96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  <c r="AD520" s="97"/>
    </row>
    <row r="521">
      <c r="A521" s="36"/>
      <c r="B521" s="96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7"/>
    </row>
    <row r="522">
      <c r="A522" s="36"/>
      <c r="B522" s="96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</row>
    <row r="523">
      <c r="A523" s="36"/>
      <c r="B523" s="96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</row>
    <row r="524">
      <c r="A524" s="36"/>
      <c r="B524" s="96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  <c r="AD524" s="97"/>
    </row>
    <row r="525">
      <c r="A525" s="36"/>
      <c r="B525" s="96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</row>
    <row r="526">
      <c r="A526" s="36"/>
      <c r="B526" s="96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  <c r="AD526" s="97"/>
    </row>
    <row r="527">
      <c r="A527" s="36"/>
      <c r="B527" s="96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  <c r="AD527" s="97"/>
    </row>
    <row r="528">
      <c r="A528" s="36"/>
      <c r="B528" s="96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  <c r="AD528" s="97"/>
    </row>
    <row r="529">
      <c r="A529" s="36"/>
      <c r="B529" s="96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  <c r="AD529" s="97"/>
    </row>
    <row r="530">
      <c r="A530" s="36"/>
      <c r="B530" s="96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  <c r="AD530" s="97"/>
    </row>
    <row r="531">
      <c r="A531" s="36"/>
      <c r="B531" s="96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  <c r="AD531" s="97"/>
    </row>
    <row r="532">
      <c r="A532" s="36"/>
      <c r="B532" s="96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  <c r="AD532" s="97"/>
    </row>
    <row r="533">
      <c r="A533" s="36"/>
      <c r="B533" s="96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  <c r="AD533" s="97"/>
    </row>
    <row r="534">
      <c r="A534" s="36"/>
      <c r="B534" s="96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  <c r="AD534" s="97"/>
    </row>
    <row r="535">
      <c r="A535" s="36"/>
      <c r="B535" s="96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  <c r="AD535" s="97"/>
    </row>
    <row r="536">
      <c r="A536" s="36"/>
      <c r="B536" s="96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  <c r="AD536" s="97"/>
    </row>
    <row r="537">
      <c r="A537" s="36"/>
      <c r="B537" s="96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  <c r="AD537" s="97"/>
    </row>
    <row r="538">
      <c r="A538" s="36"/>
      <c r="B538" s="96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  <c r="AD538" s="97"/>
    </row>
    <row r="539">
      <c r="A539" s="36"/>
      <c r="B539" s="96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  <c r="AD539" s="97"/>
    </row>
    <row r="540">
      <c r="A540" s="36"/>
      <c r="B540" s="96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</row>
    <row r="541">
      <c r="A541" s="36"/>
      <c r="B541" s="96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  <c r="AD541" s="97"/>
    </row>
    <row r="542">
      <c r="A542" s="36"/>
      <c r="B542" s="96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  <c r="AD542" s="97"/>
    </row>
    <row r="543">
      <c r="A543" s="36"/>
      <c r="B543" s="96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  <c r="AD543" s="97"/>
    </row>
    <row r="544">
      <c r="A544" s="36"/>
      <c r="B544" s="96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  <c r="AD544" s="97"/>
    </row>
    <row r="545">
      <c r="A545" s="36"/>
      <c r="B545" s="96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  <c r="AD545" s="97"/>
    </row>
    <row r="546">
      <c r="A546" s="36"/>
      <c r="B546" s="96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  <c r="AD546" s="97"/>
    </row>
    <row r="547">
      <c r="A547" s="36"/>
      <c r="B547" s="96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  <c r="AD547" s="97"/>
    </row>
    <row r="548">
      <c r="A548" s="36"/>
      <c r="B548" s="96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7"/>
    </row>
    <row r="549">
      <c r="A549" s="36"/>
      <c r="B549" s="96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  <c r="AD549" s="97"/>
    </row>
    <row r="550">
      <c r="A550" s="36"/>
      <c r="B550" s="96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  <c r="AD550" s="97"/>
    </row>
    <row r="551">
      <c r="A551" s="36"/>
      <c r="B551" s="96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  <c r="AD551" s="97"/>
    </row>
    <row r="552">
      <c r="A552" s="36"/>
      <c r="B552" s="96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  <c r="AD552" s="97"/>
    </row>
    <row r="553">
      <c r="A553" s="36"/>
      <c r="B553" s="96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  <c r="AD553" s="97"/>
    </row>
    <row r="554">
      <c r="A554" s="36"/>
      <c r="B554" s="96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  <c r="AD554" s="97"/>
    </row>
    <row r="555">
      <c r="A555" s="36"/>
      <c r="B555" s="96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</row>
    <row r="556">
      <c r="A556" s="36"/>
      <c r="B556" s="96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  <c r="AD556" s="97"/>
    </row>
    <row r="557">
      <c r="A557" s="36"/>
      <c r="B557" s="96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  <c r="AD557" s="97"/>
    </row>
    <row r="558">
      <c r="A558" s="36"/>
      <c r="B558" s="96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  <c r="AD558" s="97"/>
    </row>
    <row r="559">
      <c r="A559" s="36"/>
      <c r="B559" s="96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  <c r="AD559" s="97"/>
    </row>
    <row r="560">
      <c r="A560" s="36"/>
      <c r="B560" s="96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  <c r="AD560" s="97"/>
    </row>
    <row r="561">
      <c r="A561" s="36"/>
      <c r="B561" s="96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  <c r="AD561" s="97"/>
    </row>
    <row r="562">
      <c r="A562" s="36"/>
      <c r="B562" s="96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  <c r="AD562" s="97"/>
    </row>
    <row r="563">
      <c r="A563" s="36"/>
      <c r="B563" s="96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</row>
    <row r="564">
      <c r="A564" s="36"/>
      <c r="B564" s="96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  <c r="AD564" s="97"/>
    </row>
    <row r="565">
      <c r="A565" s="36"/>
      <c r="B565" s="96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  <c r="AD565" s="97"/>
    </row>
    <row r="566">
      <c r="A566" s="36"/>
      <c r="B566" s="96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  <c r="AD566" s="97"/>
    </row>
    <row r="567">
      <c r="A567" s="36"/>
      <c r="B567" s="96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  <c r="AD567" s="97"/>
    </row>
    <row r="568">
      <c r="A568" s="36"/>
      <c r="B568" s="96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  <c r="AD568" s="97"/>
    </row>
    <row r="569">
      <c r="A569" s="36"/>
      <c r="B569" s="96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  <c r="AD569" s="97"/>
    </row>
    <row r="570">
      <c r="A570" s="36"/>
      <c r="B570" s="96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  <c r="AD570" s="97"/>
    </row>
    <row r="571">
      <c r="A571" s="36"/>
      <c r="B571" s="96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  <c r="AD571" s="97"/>
    </row>
    <row r="572">
      <c r="A572" s="36"/>
      <c r="B572" s="96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  <c r="AD572" s="97"/>
    </row>
    <row r="573">
      <c r="A573" s="36"/>
      <c r="B573" s="96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  <c r="AD573" s="97"/>
    </row>
    <row r="574">
      <c r="A574" s="36"/>
      <c r="B574" s="96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  <c r="AD574" s="97"/>
    </row>
    <row r="575">
      <c r="A575" s="36"/>
      <c r="B575" s="96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  <c r="AD575" s="97"/>
    </row>
    <row r="576">
      <c r="A576" s="36"/>
      <c r="B576" s="96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  <c r="AD576" s="97"/>
    </row>
    <row r="577">
      <c r="A577" s="36"/>
      <c r="B577" s="96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  <c r="AD577" s="97"/>
    </row>
    <row r="578">
      <c r="A578" s="36"/>
      <c r="B578" s="96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  <c r="AD578" s="97"/>
    </row>
    <row r="579">
      <c r="A579" s="36"/>
      <c r="B579" s="96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  <c r="AD579" s="97"/>
    </row>
    <row r="580">
      <c r="A580" s="36"/>
      <c r="B580" s="96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  <c r="AD580" s="97"/>
    </row>
    <row r="581">
      <c r="A581" s="36"/>
      <c r="B581" s="96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  <c r="AD581" s="97"/>
    </row>
    <row r="582">
      <c r="A582" s="36"/>
      <c r="B582" s="96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  <c r="AD582" s="97"/>
    </row>
    <row r="583">
      <c r="A583" s="36"/>
      <c r="B583" s="96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  <c r="AD583" s="97"/>
    </row>
    <row r="584">
      <c r="A584" s="36"/>
      <c r="B584" s="96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  <c r="AD584" s="97"/>
    </row>
    <row r="585">
      <c r="A585" s="36"/>
      <c r="B585" s="96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  <c r="AD585" s="97"/>
    </row>
    <row r="586">
      <c r="A586" s="36"/>
      <c r="B586" s="96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  <c r="AD586" s="97"/>
    </row>
    <row r="587">
      <c r="A587" s="36"/>
      <c r="B587" s="96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  <c r="AD587" s="97"/>
    </row>
    <row r="588">
      <c r="A588" s="36"/>
      <c r="B588" s="96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  <c r="AD588" s="97"/>
    </row>
    <row r="589">
      <c r="A589" s="36"/>
      <c r="B589" s="96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  <c r="AD589" s="97"/>
    </row>
    <row r="590">
      <c r="A590" s="36"/>
      <c r="B590" s="96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  <c r="AD590" s="97"/>
    </row>
    <row r="591">
      <c r="A591" s="36"/>
      <c r="B591" s="96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  <c r="AD591" s="97"/>
    </row>
    <row r="592">
      <c r="A592" s="36"/>
      <c r="B592" s="96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  <c r="AD592" s="97"/>
    </row>
    <row r="593">
      <c r="A593" s="36"/>
      <c r="B593" s="96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  <c r="AD593" s="97"/>
    </row>
    <row r="594">
      <c r="A594" s="36"/>
      <c r="B594" s="96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  <c r="AD594" s="97"/>
    </row>
    <row r="595">
      <c r="A595" s="36"/>
      <c r="B595" s="96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  <c r="AD595" s="97"/>
    </row>
    <row r="596">
      <c r="A596" s="36"/>
      <c r="B596" s="96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  <c r="AD596" s="97"/>
    </row>
    <row r="597">
      <c r="A597" s="36"/>
      <c r="B597" s="96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  <c r="AD597" s="97"/>
    </row>
    <row r="598">
      <c r="A598" s="36"/>
      <c r="B598" s="96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  <c r="AD598" s="97"/>
    </row>
    <row r="599">
      <c r="A599" s="36"/>
      <c r="B599" s="96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  <c r="AD599" s="97"/>
    </row>
    <row r="600">
      <c r="A600" s="36"/>
      <c r="B600" s="96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  <c r="AD600" s="97"/>
    </row>
    <row r="601">
      <c r="A601" s="36"/>
      <c r="B601" s="96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  <c r="AD601" s="97"/>
    </row>
    <row r="602">
      <c r="A602" s="36"/>
      <c r="B602" s="96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  <c r="AD602" s="97"/>
    </row>
    <row r="603">
      <c r="A603" s="36"/>
      <c r="B603" s="96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</row>
    <row r="604">
      <c r="A604" s="36"/>
      <c r="B604" s="96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  <c r="AD604" s="97"/>
    </row>
    <row r="605">
      <c r="A605" s="36"/>
      <c r="B605" s="96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  <c r="AD605" s="97"/>
    </row>
    <row r="606">
      <c r="A606" s="36"/>
      <c r="B606" s="96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  <c r="AD606" s="97"/>
    </row>
    <row r="607">
      <c r="A607" s="36"/>
      <c r="B607" s="96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  <c r="AD607" s="97"/>
    </row>
    <row r="608">
      <c r="A608" s="36"/>
      <c r="B608" s="96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  <c r="AD608" s="97"/>
    </row>
    <row r="609">
      <c r="A609" s="36"/>
      <c r="B609" s="96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</row>
    <row r="610">
      <c r="A610" s="36"/>
      <c r="B610" s="96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</row>
    <row r="611">
      <c r="A611" s="36"/>
      <c r="B611" s="96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  <c r="AD611" s="97"/>
    </row>
    <row r="612">
      <c r="A612" s="36"/>
      <c r="B612" s="96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  <c r="AD612" s="97"/>
    </row>
    <row r="613">
      <c r="A613" s="36"/>
      <c r="B613" s="96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  <c r="AD613" s="97"/>
    </row>
    <row r="614">
      <c r="A614" s="36"/>
      <c r="B614" s="96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  <c r="AD614" s="97"/>
    </row>
    <row r="615">
      <c r="A615" s="36"/>
      <c r="B615" s="96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  <c r="AD615" s="97"/>
    </row>
    <row r="616">
      <c r="A616" s="36"/>
      <c r="B616" s="96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  <c r="AD616" s="97"/>
    </row>
    <row r="617">
      <c r="A617" s="36"/>
      <c r="B617" s="96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  <c r="AD617" s="97"/>
    </row>
    <row r="618">
      <c r="A618" s="36"/>
      <c r="B618" s="96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  <c r="AD618" s="97"/>
    </row>
    <row r="619">
      <c r="A619" s="36"/>
      <c r="B619" s="96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  <c r="AD619" s="97"/>
    </row>
    <row r="620">
      <c r="A620" s="36"/>
      <c r="B620" s="96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  <c r="AD620" s="97"/>
    </row>
    <row r="621">
      <c r="A621" s="36"/>
      <c r="B621" s="96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  <c r="AD621" s="97"/>
    </row>
    <row r="622">
      <c r="A622" s="36"/>
      <c r="B622" s="96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  <c r="AD622" s="97"/>
    </row>
    <row r="623">
      <c r="A623" s="36"/>
      <c r="B623" s="96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  <c r="AD623" s="97"/>
    </row>
    <row r="624">
      <c r="A624" s="36"/>
      <c r="B624" s="96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  <c r="AD624" s="97"/>
    </row>
    <row r="625">
      <c r="A625" s="36"/>
      <c r="B625" s="96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  <c r="AD625" s="97"/>
    </row>
    <row r="626">
      <c r="A626" s="36"/>
      <c r="B626" s="96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  <c r="AD626" s="97"/>
    </row>
    <row r="627">
      <c r="A627" s="36"/>
      <c r="B627" s="96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  <c r="AD627" s="97"/>
    </row>
    <row r="628">
      <c r="A628" s="36"/>
      <c r="B628" s="96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  <c r="AD628" s="97"/>
    </row>
    <row r="629">
      <c r="A629" s="36"/>
      <c r="B629" s="96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  <c r="AD629" s="97"/>
    </row>
    <row r="630">
      <c r="A630" s="36"/>
      <c r="B630" s="96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  <c r="AD630" s="97"/>
    </row>
    <row r="631">
      <c r="A631" s="36"/>
      <c r="B631" s="96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  <c r="AD631" s="97"/>
    </row>
    <row r="632">
      <c r="A632" s="36"/>
      <c r="B632" s="96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  <c r="AD632" s="97"/>
    </row>
    <row r="633">
      <c r="A633" s="36"/>
      <c r="B633" s="96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  <c r="AD633" s="97"/>
    </row>
    <row r="634">
      <c r="A634" s="36"/>
      <c r="B634" s="96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  <c r="AD634" s="97"/>
    </row>
    <row r="635">
      <c r="A635" s="36"/>
      <c r="B635" s="96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  <c r="AD635" s="97"/>
    </row>
    <row r="636">
      <c r="A636" s="36"/>
      <c r="B636" s="96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  <c r="AD636" s="97"/>
    </row>
    <row r="637">
      <c r="A637" s="36"/>
      <c r="B637" s="96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  <c r="AD637" s="97"/>
    </row>
    <row r="638">
      <c r="A638" s="36"/>
      <c r="B638" s="96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  <c r="AD638" s="97"/>
    </row>
    <row r="639">
      <c r="A639" s="36"/>
      <c r="B639" s="96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  <c r="AD639" s="97"/>
    </row>
    <row r="640">
      <c r="A640" s="36"/>
      <c r="B640" s="96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  <c r="AD640" s="97"/>
    </row>
    <row r="641">
      <c r="A641" s="36"/>
      <c r="B641" s="96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  <c r="AD641" s="97"/>
    </row>
    <row r="642">
      <c r="A642" s="36"/>
      <c r="B642" s="96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  <c r="AD642" s="97"/>
    </row>
    <row r="643">
      <c r="A643" s="36"/>
      <c r="B643" s="96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</row>
    <row r="644">
      <c r="A644" s="36"/>
      <c r="B644" s="96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  <c r="AD644" s="97"/>
    </row>
    <row r="645">
      <c r="A645" s="36"/>
      <c r="B645" s="96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  <c r="AD645" s="97"/>
    </row>
    <row r="646">
      <c r="A646" s="36"/>
      <c r="B646" s="96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  <c r="AD646" s="97"/>
    </row>
    <row r="647">
      <c r="A647" s="36"/>
      <c r="B647" s="96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  <c r="AD647" s="97"/>
    </row>
    <row r="648">
      <c r="A648" s="36"/>
      <c r="B648" s="96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  <c r="AD648" s="97"/>
    </row>
    <row r="649">
      <c r="A649" s="36"/>
      <c r="B649" s="96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  <c r="AD649" s="97"/>
    </row>
    <row r="650">
      <c r="A650" s="36"/>
      <c r="B650" s="96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  <c r="AD650" s="97"/>
    </row>
    <row r="651">
      <c r="A651" s="36"/>
      <c r="B651" s="96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  <c r="AD651" s="97"/>
    </row>
    <row r="652">
      <c r="A652" s="36"/>
      <c r="B652" s="96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  <c r="AD652" s="97"/>
    </row>
    <row r="653">
      <c r="A653" s="36"/>
      <c r="B653" s="96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  <c r="AD653" s="97"/>
    </row>
    <row r="654">
      <c r="A654" s="36"/>
      <c r="B654" s="96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  <c r="AD654" s="97"/>
    </row>
    <row r="655">
      <c r="A655" s="36"/>
      <c r="B655" s="96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  <c r="AD655" s="97"/>
    </row>
    <row r="656">
      <c r="A656" s="36"/>
      <c r="B656" s="96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  <c r="AD656" s="97"/>
    </row>
    <row r="657">
      <c r="A657" s="36"/>
      <c r="B657" s="96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  <c r="AD657" s="97"/>
    </row>
    <row r="658">
      <c r="A658" s="36"/>
      <c r="B658" s="96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  <c r="AD658" s="97"/>
    </row>
    <row r="659">
      <c r="A659" s="36"/>
      <c r="B659" s="96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  <c r="AD659" s="97"/>
    </row>
    <row r="660">
      <c r="A660" s="36"/>
      <c r="B660" s="96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  <c r="AD660" s="97"/>
    </row>
    <row r="661">
      <c r="A661" s="36"/>
      <c r="B661" s="96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  <c r="AD661" s="97"/>
    </row>
    <row r="662">
      <c r="A662" s="36"/>
      <c r="B662" s="96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  <c r="AD662" s="97"/>
    </row>
    <row r="663">
      <c r="A663" s="36"/>
      <c r="B663" s="96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  <c r="AD663" s="97"/>
    </row>
    <row r="664">
      <c r="A664" s="36"/>
      <c r="B664" s="96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  <c r="AD664" s="97"/>
    </row>
    <row r="665">
      <c r="A665" s="36"/>
      <c r="B665" s="96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  <c r="AD665" s="97"/>
    </row>
    <row r="666">
      <c r="A666" s="36"/>
      <c r="B666" s="96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  <c r="AD666" s="97"/>
    </row>
    <row r="667">
      <c r="A667" s="36"/>
      <c r="B667" s="96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  <c r="AD667" s="97"/>
    </row>
    <row r="668">
      <c r="A668" s="36"/>
      <c r="B668" s="96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  <c r="AD668" s="97"/>
    </row>
    <row r="669">
      <c r="A669" s="36"/>
      <c r="B669" s="96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  <c r="AD669" s="97"/>
    </row>
    <row r="670">
      <c r="A670" s="36"/>
      <c r="B670" s="96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  <c r="AD670" s="97"/>
    </row>
    <row r="671">
      <c r="A671" s="36"/>
      <c r="B671" s="96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  <c r="AD671" s="97"/>
    </row>
    <row r="672">
      <c r="A672" s="36"/>
      <c r="B672" s="96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  <c r="AD672" s="97"/>
    </row>
    <row r="673">
      <c r="A673" s="36"/>
      <c r="B673" s="96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  <c r="AD673" s="97"/>
    </row>
    <row r="674">
      <c r="A674" s="36"/>
      <c r="B674" s="96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  <c r="AD674" s="97"/>
    </row>
    <row r="675">
      <c r="A675" s="36"/>
      <c r="B675" s="96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  <c r="AD675" s="97"/>
    </row>
    <row r="676">
      <c r="A676" s="36"/>
      <c r="B676" s="96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  <c r="AD676" s="97"/>
    </row>
    <row r="677">
      <c r="A677" s="36"/>
      <c r="B677" s="96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  <c r="AD677" s="97"/>
    </row>
    <row r="678">
      <c r="A678" s="36"/>
      <c r="B678" s="96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  <c r="AD678" s="97"/>
    </row>
    <row r="679">
      <c r="A679" s="36"/>
      <c r="B679" s="96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  <c r="AD679" s="97"/>
    </row>
    <row r="680">
      <c r="A680" s="36"/>
      <c r="B680" s="96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  <c r="AD680" s="97"/>
    </row>
    <row r="681">
      <c r="A681" s="36"/>
      <c r="B681" s="96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  <c r="AD681" s="97"/>
    </row>
    <row r="682">
      <c r="A682" s="36"/>
      <c r="B682" s="96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  <c r="AD682" s="97"/>
    </row>
    <row r="683">
      <c r="A683" s="36"/>
      <c r="B683" s="96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</row>
    <row r="684">
      <c r="A684" s="36"/>
      <c r="B684" s="96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  <c r="AD684" s="97"/>
    </row>
    <row r="685">
      <c r="A685" s="36"/>
      <c r="B685" s="96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  <c r="AD685" s="97"/>
    </row>
    <row r="686">
      <c r="A686" s="36"/>
      <c r="B686" s="96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</row>
    <row r="687">
      <c r="A687" s="36"/>
      <c r="B687" s="96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  <c r="AD687" s="97"/>
    </row>
    <row r="688">
      <c r="A688" s="36"/>
      <c r="B688" s="96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  <c r="AD688" s="97"/>
    </row>
    <row r="689">
      <c r="A689" s="36"/>
      <c r="B689" s="96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  <c r="AD689" s="97"/>
    </row>
    <row r="690">
      <c r="A690" s="36"/>
      <c r="B690" s="96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  <c r="AD690" s="97"/>
    </row>
    <row r="691">
      <c r="A691" s="36"/>
      <c r="B691" s="96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  <c r="AD691" s="97"/>
    </row>
    <row r="692">
      <c r="A692" s="36"/>
      <c r="B692" s="96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</row>
    <row r="693">
      <c r="A693" s="36"/>
      <c r="B693" s="96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  <c r="AD693" s="97"/>
    </row>
    <row r="694">
      <c r="A694" s="36"/>
      <c r="B694" s="96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  <c r="AD694" s="97"/>
    </row>
    <row r="695">
      <c r="A695" s="36"/>
      <c r="B695" s="96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  <c r="AD695" s="97"/>
    </row>
    <row r="696">
      <c r="A696" s="36"/>
      <c r="B696" s="96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  <c r="AD696" s="97"/>
    </row>
    <row r="697">
      <c r="A697" s="36"/>
      <c r="B697" s="96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  <c r="AD697" s="97"/>
    </row>
    <row r="698">
      <c r="A698" s="36"/>
      <c r="B698" s="96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</row>
    <row r="699">
      <c r="A699" s="36"/>
      <c r="B699" s="96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  <c r="AD699" s="97"/>
    </row>
    <row r="700">
      <c r="A700" s="36"/>
      <c r="B700" s="96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  <c r="AD700" s="97"/>
    </row>
    <row r="701">
      <c r="A701" s="36"/>
      <c r="B701" s="96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  <c r="AD701" s="97"/>
    </row>
    <row r="702">
      <c r="A702" s="36"/>
      <c r="B702" s="96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  <c r="AD702" s="97"/>
    </row>
    <row r="703">
      <c r="A703" s="36"/>
      <c r="B703" s="96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</row>
    <row r="704">
      <c r="A704" s="36"/>
      <c r="B704" s="96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  <c r="AD704" s="97"/>
    </row>
    <row r="705">
      <c r="A705" s="36"/>
      <c r="B705" s="96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  <c r="AD705" s="97"/>
    </row>
    <row r="706">
      <c r="A706" s="36"/>
      <c r="B706" s="96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  <c r="AD706" s="97"/>
    </row>
    <row r="707">
      <c r="A707" s="36"/>
      <c r="B707" s="96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  <c r="AD707" s="97"/>
    </row>
    <row r="708">
      <c r="A708" s="36"/>
      <c r="B708" s="96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  <c r="AD708" s="97"/>
    </row>
    <row r="709">
      <c r="A709" s="36"/>
      <c r="B709" s="96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  <c r="AD709" s="97"/>
    </row>
    <row r="710">
      <c r="A710" s="36"/>
      <c r="B710" s="96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  <c r="AD710" s="97"/>
    </row>
    <row r="711">
      <c r="A711" s="36"/>
      <c r="B711" s="96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  <c r="AD711" s="97"/>
    </row>
    <row r="712">
      <c r="A712" s="36"/>
      <c r="B712" s="96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  <c r="AD712" s="97"/>
    </row>
    <row r="713">
      <c r="A713" s="36"/>
      <c r="B713" s="96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  <c r="AD713" s="97"/>
    </row>
    <row r="714">
      <c r="A714" s="36"/>
      <c r="B714" s="96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  <c r="AD714" s="97"/>
    </row>
    <row r="715">
      <c r="A715" s="36"/>
      <c r="B715" s="96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  <c r="AD715" s="97"/>
    </row>
    <row r="716">
      <c r="A716" s="36"/>
      <c r="B716" s="96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  <c r="AD716" s="97"/>
    </row>
    <row r="717">
      <c r="A717" s="36"/>
      <c r="B717" s="96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  <c r="AD717" s="97"/>
    </row>
    <row r="718">
      <c r="A718" s="36"/>
      <c r="B718" s="96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  <c r="AD718" s="97"/>
    </row>
    <row r="719">
      <c r="A719" s="36"/>
      <c r="B719" s="96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  <c r="AD719" s="97"/>
    </row>
    <row r="720">
      <c r="A720" s="36"/>
      <c r="B720" s="96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  <c r="AD720" s="97"/>
    </row>
    <row r="721">
      <c r="A721" s="36"/>
      <c r="B721" s="96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  <c r="AD721" s="97"/>
    </row>
    <row r="722">
      <c r="A722" s="36"/>
      <c r="B722" s="96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  <c r="AD722" s="97"/>
    </row>
    <row r="723">
      <c r="A723" s="36"/>
      <c r="B723" s="96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</row>
    <row r="724">
      <c r="A724" s="36"/>
      <c r="B724" s="96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  <c r="AD724" s="97"/>
    </row>
    <row r="725">
      <c r="A725" s="36"/>
      <c r="B725" s="96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  <c r="AD725" s="97"/>
    </row>
    <row r="726">
      <c r="A726" s="36"/>
      <c r="B726" s="96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  <c r="AD726" s="97"/>
    </row>
    <row r="727">
      <c r="A727" s="36"/>
      <c r="B727" s="96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  <c r="AD727" s="97"/>
    </row>
    <row r="728">
      <c r="A728" s="36"/>
      <c r="B728" s="96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  <c r="AD728" s="97"/>
    </row>
    <row r="729">
      <c r="A729" s="36"/>
      <c r="B729" s="96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  <c r="AD729" s="97"/>
    </row>
    <row r="730">
      <c r="A730" s="36"/>
      <c r="B730" s="96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  <c r="AD730" s="97"/>
    </row>
    <row r="731">
      <c r="A731" s="36"/>
      <c r="B731" s="96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  <c r="AD731" s="97"/>
    </row>
    <row r="732">
      <c r="A732" s="36"/>
      <c r="B732" s="96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  <c r="AD732" s="97"/>
    </row>
    <row r="733">
      <c r="A733" s="36"/>
      <c r="B733" s="96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  <c r="AD733" s="97"/>
    </row>
    <row r="734">
      <c r="A734" s="36"/>
      <c r="B734" s="96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  <c r="AD734" s="97"/>
    </row>
    <row r="735">
      <c r="A735" s="36"/>
      <c r="B735" s="96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  <c r="AD735" s="97"/>
    </row>
    <row r="736">
      <c r="A736" s="36"/>
      <c r="B736" s="96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  <c r="AD736" s="97"/>
    </row>
    <row r="737">
      <c r="A737" s="36"/>
      <c r="B737" s="96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  <c r="AD737" s="97"/>
    </row>
    <row r="738">
      <c r="A738" s="36"/>
      <c r="B738" s="96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  <c r="AD738" s="97"/>
    </row>
    <row r="739">
      <c r="A739" s="36"/>
      <c r="B739" s="96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  <c r="AD739" s="97"/>
    </row>
    <row r="740">
      <c r="A740" s="36"/>
      <c r="B740" s="96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  <c r="AD740" s="97"/>
    </row>
    <row r="741">
      <c r="A741" s="36"/>
      <c r="B741" s="96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  <c r="AD741" s="97"/>
    </row>
    <row r="742">
      <c r="A742" s="36"/>
      <c r="B742" s="96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  <c r="AD742" s="97"/>
    </row>
    <row r="743">
      <c r="A743" s="36"/>
      <c r="B743" s="96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  <c r="AD743" s="97"/>
    </row>
    <row r="744">
      <c r="A744" s="36"/>
      <c r="B744" s="96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</row>
    <row r="745">
      <c r="A745" s="36"/>
      <c r="B745" s="96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  <c r="AD745" s="97"/>
    </row>
    <row r="746">
      <c r="A746" s="36"/>
      <c r="B746" s="96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  <c r="AD746" s="97"/>
    </row>
    <row r="747">
      <c r="A747" s="36"/>
      <c r="B747" s="96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  <c r="AD747" s="97"/>
    </row>
    <row r="748">
      <c r="A748" s="36"/>
      <c r="B748" s="96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  <c r="AD748" s="97"/>
    </row>
    <row r="749">
      <c r="A749" s="36"/>
      <c r="B749" s="96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  <c r="AD749" s="97"/>
    </row>
    <row r="750">
      <c r="A750" s="36"/>
      <c r="B750" s="96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  <c r="AD750" s="97"/>
    </row>
    <row r="751">
      <c r="A751" s="36"/>
      <c r="B751" s="96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  <c r="AD751" s="97"/>
    </row>
    <row r="752">
      <c r="A752" s="36"/>
      <c r="B752" s="96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  <c r="AD752" s="97"/>
    </row>
    <row r="753">
      <c r="A753" s="36"/>
      <c r="B753" s="96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  <c r="AD753" s="97"/>
    </row>
    <row r="754">
      <c r="A754" s="36"/>
      <c r="B754" s="96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  <c r="AD754" s="97"/>
    </row>
    <row r="755">
      <c r="A755" s="36"/>
      <c r="B755" s="96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  <c r="AD755" s="97"/>
    </row>
    <row r="756">
      <c r="A756" s="36"/>
      <c r="B756" s="96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  <c r="AD756" s="97"/>
    </row>
    <row r="757">
      <c r="A757" s="36"/>
      <c r="B757" s="96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  <c r="AD757" s="97"/>
    </row>
    <row r="758">
      <c r="A758" s="36"/>
      <c r="B758" s="96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  <c r="AD758" s="97"/>
    </row>
    <row r="759">
      <c r="A759" s="36"/>
      <c r="B759" s="96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  <c r="AD759" s="97"/>
    </row>
    <row r="760">
      <c r="A760" s="36"/>
      <c r="B760" s="96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  <c r="AD760" s="97"/>
    </row>
    <row r="761">
      <c r="A761" s="36"/>
      <c r="B761" s="96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  <c r="AD761" s="97"/>
    </row>
    <row r="762">
      <c r="A762" s="36"/>
      <c r="B762" s="96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  <c r="AD762" s="97"/>
    </row>
    <row r="763">
      <c r="A763" s="36"/>
      <c r="B763" s="96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</row>
    <row r="764">
      <c r="A764" s="36"/>
      <c r="B764" s="96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  <c r="AD764" s="97"/>
    </row>
    <row r="765">
      <c r="A765" s="36"/>
      <c r="B765" s="96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  <c r="AD765" s="97"/>
    </row>
    <row r="766">
      <c r="A766" s="36"/>
      <c r="B766" s="96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  <c r="AD766" s="97"/>
    </row>
    <row r="767">
      <c r="A767" s="36"/>
      <c r="B767" s="96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  <c r="AD767" s="97"/>
    </row>
    <row r="768">
      <c r="A768" s="36"/>
      <c r="B768" s="96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  <c r="AD768" s="97"/>
    </row>
    <row r="769">
      <c r="A769" s="36"/>
      <c r="B769" s="96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  <c r="AD769" s="97"/>
    </row>
    <row r="770">
      <c r="A770" s="36"/>
      <c r="B770" s="96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  <c r="AD770" s="97"/>
    </row>
    <row r="771">
      <c r="A771" s="36"/>
      <c r="B771" s="96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  <c r="AD771" s="97"/>
    </row>
    <row r="772">
      <c r="A772" s="36"/>
      <c r="B772" s="96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  <c r="AD772" s="97"/>
    </row>
    <row r="773">
      <c r="A773" s="36"/>
      <c r="B773" s="96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  <c r="AD773" s="97"/>
    </row>
    <row r="774">
      <c r="A774" s="36"/>
      <c r="B774" s="96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  <c r="AD774" s="97"/>
    </row>
    <row r="775">
      <c r="A775" s="36"/>
      <c r="B775" s="96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  <c r="AD775" s="97"/>
    </row>
    <row r="776">
      <c r="A776" s="36"/>
      <c r="B776" s="96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</row>
    <row r="777">
      <c r="A777" s="36"/>
      <c r="B777" s="96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7"/>
    </row>
    <row r="778">
      <c r="A778" s="36"/>
      <c r="B778" s="96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  <c r="AD778" s="97"/>
    </row>
    <row r="779">
      <c r="A779" s="36"/>
      <c r="B779" s="96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</row>
    <row r="780">
      <c r="A780" s="36"/>
      <c r="B780" s="96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  <c r="AD780" s="97"/>
    </row>
    <row r="781">
      <c r="A781" s="36"/>
      <c r="B781" s="96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  <c r="AD781" s="97"/>
    </row>
    <row r="782">
      <c r="A782" s="36"/>
      <c r="B782" s="96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  <c r="AD782" s="97"/>
    </row>
    <row r="783">
      <c r="A783" s="36"/>
      <c r="B783" s="96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  <c r="AD783" s="97"/>
    </row>
    <row r="784">
      <c r="A784" s="36"/>
      <c r="B784" s="96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  <c r="AD784" s="97"/>
    </row>
    <row r="785">
      <c r="A785" s="36"/>
      <c r="B785" s="96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  <c r="AD785" s="97"/>
    </row>
    <row r="786">
      <c r="A786" s="36"/>
      <c r="B786" s="96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  <c r="AD786" s="97"/>
    </row>
    <row r="787">
      <c r="A787" s="36"/>
      <c r="B787" s="96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  <c r="AD787" s="97"/>
    </row>
    <row r="788">
      <c r="A788" s="36"/>
      <c r="B788" s="96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  <c r="AD788" s="97"/>
    </row>
    <row r="789">
      <c r="A789" s="36"/>
      <c r="B789" s="96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7"/>
    </row>
    <row r="790">
      <c r="A790" s="36"/>
      <c r="B790" s="96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  <c r="AD790" s="97"/>
    </row>
    <row r="791">
      <c r="A791" s="36"/>
      <c r="B791" s="96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  <c r="AD791" s="97"/>
    </row>
    <row r="792">
      <c r="A792" s="36"/>
      <c r="B792" s="96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</row>
    <row r="793">
      <c r="A793" s="36"/>
      <c r="B793" s="96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  <c r="AD793" s="97"/>
    </row>
    <row r="794">
      <c r="A794" s="36"/>
      <c r="B794" s="96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  <c r="AD794" s="97"/>
    </row>
    <row r="795">
      <c r="A795" s="36"/>
      <c r="B795" s="96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  <c r="AD795" s="97"/>
    </row>
    <row r="796">
      <c r="A796" s="36"/>
      <c r="B796" s="96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  <c r="AD796" s="97"/>
    </row>
    <row r="797">
      <c r="A797" s="36"/>
      <c r="B797" s="96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  <c r="AD797" s="97"/>
    </row>
    <row r="798">
      <c r="A798" s="36"/>
      <c r="B798" s="96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  <c r="AD798" s="97"/>
    </row>
    <row r="799">
      <c r="A799" s="36"/>
      <c r="B799" s="96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</row>
    <row r="800">
      <c r="A800" s="36"/>
      <c r="B800" s="96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  <c r="AD800" s="97"/>
    </row>
    <row r="801">
      <c r="A801" s="36"/>
      <c r="B801" s="96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  <c r="AD801" s="97"/>
    </row>
    <row r="802">
      <c r="A802" s="36"/>
      <c r="B802" s="96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  <c r="AD802" s="97"/>
    </row>
    <row r="803">
      <c r="A803" s="36"/>
      <c r="B803" s="96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</row>
    <row r="804">
      <c r="A804" s="36"/>
      <c r="B804" s="96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  <c r="AD804" s="97"/>
    </row>
    <row r="805">
      <c r="A805" s="36"/>
      <c r="B805" s="96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  <c r="AD805" s="97"/>
    </row>
    <row r="806">
      <c r="A806" s="36"/>
      <c r="B806" s="96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</row>
    <row r="807">
      <c r="A807" s="36"/>
      <c r="B807" s="96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  <c r="AD807" s="97"/>
    </row>
    <row r="808">
      <c r="A808" s="36"/>
      <c r="B808" s="96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  <c r="AD808" s="97"/>
    </row>
    <row r="809">
      <c r="A809" s="36"/>
      <c r="B809" s="96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  <c r="AD809" s="97"/>
    </row>
    <row r="810">
      <c r="A810" s="36"/>
      <c r="B810" s="96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</row>
    <row r="811">
      <c r="A811" s="36"/>
      <c r="B811" s="96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  <c r="AD811" s="97"/>
    </row>
    <row r="812">
      <c r="A812" s="36"/>
      <c r="B812" s="96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  <c r="AD812" s="97"/>
    </row>
    <row r="813">
      <c r="A813" s="36"/>
      <c r="B813" s="96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</row>
    <row r="814">
      <c r="A814" s="36"/>
      <c r="B814" s="96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  <c r="AD814" s="97"/>
    </row>
    <row r="815">
      <c r="A815" s="36"/>
      <c r="B815" s="96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  <c r="AD815" s="97"/>
    </row>
    <row r="816">
      <c r="A816" s="36"/>
      <c r="B816" s="96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  <c r="AD816" s="97"/>
    </row>
    <row r="817">
      <c r="A817" s="36"/>
      <c r="B817" s="96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</row>
    <row r="818">
      <c r="A818" s="36"/>
      <c r="B818" s="96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  <c r="AD818" s="97"/>
    </row>
    <row r="819">
      <c r="A819" s="36"/>
      <c r="B819" s="96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  <c r="AD819" s="97"/>
    </row>
    <row r="820">
      <c r="A820" s="36"/>
      <c r="B820" s="96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  <c r="AD820" s="97"/>
    </row>
    <row r="821">
      <c r="A821" s="36"/>
      <c r="B821" s="96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  <c r="AD821" s="97"/>
    </row>
    <row r="822">
      <c r="A822" s="36"/>
      <c r="B822" s="96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  <c r="AD822" s="97"/>
    </row>
    <row r="823">
      <c r="A823" s="36"/>
      <c r="B823" s="96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7"/>
    </row>
    <row r="824">
      <c r="A824" s="36"/>
      <c r="B824" s="96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  <c r="AD824" s="97"/>
    </row>
    <row r="825">
      <c r="A825" s="36"/>
      <c r="B825" s="96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  <c r="AD825" s="97"/>
    </row>
    <row r="826">
      <c r="A826" s="36"/>
      <c r="B826" s="96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  <c r="AD826" s="97"/>
    </row>
    <row r="827">
      <c r="A827" s="36"/>
      <c r="B827" s="96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  <c r="AD827" s="97"/>
    </row>
    <row r="828">
      <c r="A828" s="36"/>
      <c r="B828" s="96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  <c r="AD828" s="97"/>
    </row>
    <row r="829">
      <c r="A829" s="36"/>
      <c r="B829" s="96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  <c r="AD829" s="97"/>
    </row>
    <row r="830">
      <c r="A830" s="36"/>
      <c r="B830" s="96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  <c r="AD830" s="97"/>
    </row>
    <row r="831">
      <c r="A831" s="36"/>
      <c r="B831" s="96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  <c r="AD831" s="97"/>
    </row>
    <row r="832">
      <c r="A832" s="36"/>
      <c r="B832" s="96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  <c r="AD832" s="97"/>
    </row>
    <row r="833">
      <c r="A833" s="36"/>
      <c r="B833" s="96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  <c r="AD833" s="97"/>
    </row>
    <row r="834">
      <c r="A834" s="36"/>
      <c r="B834" s="96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  <c r="AD834" s="97"/>
    </row>
    <row r="835">
      <c r="A835" s="36"/>
      <c r="B835" s="96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</row>
    <row r="836">
      <c r="A836" s="36"/>
      <c r="B836" s="96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  <c r="AD836" s="97"/>
    </row>
    <row r="837">
      <c r="A837" s="36"/>
      <c r="B837" s="96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  <c r="AD837" s="97"/>
    </row>
    <row r="838">
      <c r="A838" s="36"/>
      <c r="B838" s="96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</row>
    <row r="839">
      <c r="A839" s="36"/>
      <c r="B839" s="96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  <c r="AD839" s="97"/>
    </row>
    <row r="840">
      <c r="A840" s="36"/>
      <c r="B840" s="96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  <c r="AD840" s="97"/>
    </row>
    <row r="841">
      <c r="A841" s="36"/>
      <c r="B841" s="96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  <c r="AD841" s="97"/>
    </row>
    <row r="842">
      <c r="A842" s="36"/>
      <c r="B842" s="96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  <c r="AD842" s="97"/>
    </row>
    <row r="843">
      <c r="A843" s="36"/>
      <c r="B843" s="96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</row>
    <row r="844">
      <c r="A844" s="36"/>
      <c r="B844" s="96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  <c r="AD844" s="97"/>
    </row>
    <row r="845">
      <c r="A845" s="36"/>
      <c r="B845" s="96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</row>
    <row r="846">
      <c r="A846" s="36"/>
      <c r="B846" s="96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  <c r="AD846" s="97"/>
    </row>
    <row r="847">
      <c r="A847" s="36"/>
      <c r="B847" s="96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  <c r="AD847" s="97"/>
    </row>
    <row r="848">
      <c r="A848" s="36"/>
      <c r="B848" s="96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7"/>
    </row>
    <row r="849">
      <c r="A849" s="36"/>
      <c r="B849" s="96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  <c r="AD849" s="97"/>
    </row>
    <row r="850">
      <c r="A850" s="36"/>
      <c r="B850" s="96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  <c r="AD850" s="97"/>
    </row>
    <row r="851">
      <c r="A851" s="36"/>
      <c r="B851" s="96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  <c r="AD851" s="97"/>
    </row>
    <row r="852">
      <c r="A852" s="36"/>
      <c r="B852" s="96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  <c r="AD852" s="97"/>
    </row>
    <row r="853">
      <c r="A853" s="36"/>
      <c r="B853" s="96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  <c r="AD853" s="97"/>
    </row>
    <row r="854">
      <c r="A854" s="36"/>
      <c r="B854" s="96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  <c r="AD854" s="97"/>
    </row>
    <row r="855">
      <c r="A855" s="36"/>
      <c r="B855" s="96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  <c r="AD855" s="97"/>
    </row>
    <row r="856">
      <c r="A856" s="36"/>
      <c r="B856" s="96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  <c r="AD856" s="97"/>
    </row>
    <row r="857">
      <c r="A857" s="36"/>
      <c r="B857" s="96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7"/>
    </row>
    <row r="858">
      <c r="A858" s="36"/>
      <c r="B858" s="96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  <c r="AD858" s="97"/>
    </row>
    <row r="859">
      <c r="A859" s="36"/>
      <c r="B859" s="96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  <c r="AD859" s="97"/>
    </row>
    <row r="860">
      <c r="A860" s="36"/>
      <c r="B860" s="96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  <c r="AD860" s="97"/>
    </row>
    <row r="861">
      <c r="A861" s="36"/>
      <c r="B861" s="96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</row>
    <row r="862">
      <c r="A862" s="36"/>
      <c r="B862" s="96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  <c r="AD862" s="97"/>
    </row>
    <row r="863">
      <c r="A863" s="36"/>
      <c r="B863" s="96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  <c r="AD863" s="97"/>
    </row>
    <row r="864">
      <c r="A864" s="36"/>
      <c r="B864" s="96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  <c r="AD864" s="97"/>
    </row>
    <row r="865">
      <c r="A865" s="36"/>
      <c r="B865" s="96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7"/>
    </row>
    <row r="866">
      <c r="A866" s="36"/>
      <c r="B866" s="96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</row>
    <row r="867">
      <c r="A867" s="36"/>
      <c r="B867" s="96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  <c r="AD867" s="97"/>
    </row>
    <row r="868">
      <c r="A868" s="36"/>
      <c r="B868" s="96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  <c r="AD868" s="97"/>
    </row>
    <row r="869">
      <c r="A869" s="36"/>
      <c r="B869" s="96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</row>
    <row r="870">
      <c r="A870" s="36"/>
      <c r="B870" s="96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  <c r="AD870" s="97"/>
    </row>
    <row r="871">
      <c r="A871" s="36"/>
      <c r="B871" s="96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  <c r="AD871" s="97"/>
    </row>
    <row r="872">
      <c r="A872" s="36"/>
      <c r="B872" s="96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7"/>
    </row>
    <row r="873">
      <c r="A873" s="36"/>
      <c r="B873" s="96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  <c r="AD873" s="97"/>
    </row>
    <row r="874">
      <c r="A874" s="36"/>
      <c r="B874" s="96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</row>
    <row r="875">
      <c r="A875" s="36"/>
      <c r="B875" s="96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</row>
    <row r="876">
      <c r="A876" s="36"/>
      <c r="B876" s="96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</row>
    <row r="877">
      <c r="A877" s="36"/>
      <c r="B877" s="96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  <c r="AD877" s="97"/>
    </row>
    <row r="878">
      <c r="A878" s="36"/>
      <c r="B878" s="96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</row>
    <row r="879">
      <c r="A879" s="36"/>
      <c r="B879" s="96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  <c r="AD879" s="97"/>
    </row>
    <row r="880">
      <c r="A880" s="36"/>
      <c r="B880" s="96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  <c r="AD880" s="97"/>
    </row>
    <row r="881">
      <c r="A881" s="36"/>
      <c r="B881" s="96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</row>
    <row r="882">
      <c r="A882" s="36"/>
      <c r="B882" s="96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  <c r="AD882" s="97"/>
    </row>
    <row r="883">
      <c r="A883" s="36"/>
      <c r="B883" s="96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</row>
    <row r="884">
      <c r="A884" s="36"/>
      <c r="B884" s="96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7"/>
    </row>
    <row r="885">
      <c r="A885" s="36"/>
      <c r="B885" s="96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</row>
    <row r="886">
      <c r="A886" s="36"/>
      <c r="B886" s="96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</row>
    <row r="887">
      <c r="A887" s="36"/>
      <c r="B887" s="96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  <c r="AD887" s="97"/>
    </row>
    <row r="888">
      <c r="A888" s="36"/>
      <c r="B888" s="96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  <c r="AD888" s="97"/>
    </row>
    <row r="889">
      <c r="A889" s="36"/>
      <c r="B889" s="96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</row>
    <row r="890">
      <c r="A890" s="36"/>
      <c r="B890" s="96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  <c r="AD890" s="97"/>
    </row>
    <row r="891">
      <c r="A891" s="36"/>
      <c r="B891" s="96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  <c r="AD891" s="97"/>
    </row>
    <row r="892">
      <c r="A892" s="36"/>
      <c r="B892" s="96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  <c r="AD892" s="97"/>
    </row>
    <row r="893">
      <c r="A893" s="36"/>
      <c r="B893" s="96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7"/>
    </row>
    <row r="894">
      <c r="A894" s="36"/>
      <c r="B894" s="96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</row>
    <row r="895">
      <c r="A895" s="36"/>
      <c r="B895" s="96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  <c r="AD895" s="97"/>
    </row>
    <row r="896">
      <c r="A896" s="36"/>
      <c r="B896" s="96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</row>
    <row r="897">
      <c r="A897" s="36"/>
      <c r="B897" s="96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  <c r="AD897" s="97"/>
    </row>
    <row r="898">
      <c r="A898" s="36"/>
      <c r="B898" s="96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  <c r="AD898" s="97"/>
    </row>
    <row r="899">
      <c r="A899" s="36"/>
      <c r="B899" s="96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</row>
    <row r="900">
      <c r="A900" s="36"/>
      <c r="B900" s="96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  <c r="AD900" s="97"/>
    </row>
    <row r="901">
      <c r="A901" s="36"/>
      <c r="B901" s="96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  <c r="AD901" s="97"/>
    </row>
    <row r="902">
      <c r="A902" s="36"/>
      <c r="B902" s="96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7"/>
    </row>
    <row r="903">
      <c r="A903" s="36"/>
      <c r="B903" s="96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  <c r="AD903" s="97"/>
    </row>
    <row r="904">
      <c r="A904" s="36"/>
      <c r="B904" s="96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</row>
    <row r="905">
      <c r="A905" s="36"/>
      <c r="B905" s="96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  <c r="AD905" s="97"/>
    </row>
    <row r="906">
      <c r="A906" s="36"/>
      <c r="B906" s="96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  <c r="AD906" s="97"/>
    </row>
    <row r="907">
      <c r="A907" s="36"/>
      <c r="B907" s="96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  <c r="AD907" s="97"/>
    </row>
    <row r="908">
      <c r="A908" s="36"/>
      <c r="B908" s="96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  <c r="AD908" s="97"/>
    </row>
    <row r="909">
      <c r="A909" s="36"/>
      <c r="B909" s="96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  <c r="AD909" s="97"/>
    </row>
    <row r="910">
      <c r="A910" s="36"/>
      <c r="B910" s="96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  <c r="AD910" s="97"/>
    </row>
    <row r="911">
      <c r="A911" s="36"/>
      <c r="B911" s="96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7"/>
    </row>
    <row r="912">
      <c r="A912" s="36"/>
      <c r="B912" s="96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</row>
    <row r="913">
      <c r="A913" s="36"/>
      <c r="B913" s="96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  <c r="AD913" s="97"/>
    </row>
    <row r="914">
      <c r="A914" s="36"/>
      <c r="B914" s="96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  <c r="AD914" s="97"/>
    </row>
    <row r="915">
      <c r="A915" s="36"/>
      <c r="B915" s="96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</row>
    <row r="916">
      <c r="A916" s="36"/>
      <c r="B916" s="96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  <c r="AD916" s="97"/>
    </row>
    <row r="917">
      <c r="A917" s="36"/>
      <c r="B917" s="96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</row>
    <row r="918">
      <c r="A918" s="36"/>
      <c r="B918" s="96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  <c r="AD918" s="97"/>
    </row>
    <row r="919">
      <c r="A919" s="36"/>
      <c r="B919" s="96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7"/>
    </row>
    <row r="920">
      <c r="A920" s="36"/>
      <c r="B920" s="96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  <c r="AD920" s="97"/>
    </row>
    <row r="921">
      <c r="A921" s="36"/>
      <c r="B921" s="96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  <c r="AD921" s="97"/>
    </row>
    <row r="922">
      <c r="A922" s="36"/>
      <c r="B922" s="96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  <c r="AD922" s="97"/>
    </row>
    <row r="923">
      <c r="A923" s="36"/>
      <c r="B923" s="96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</row>
    <row r="924">
      <c r="A924" s="36"/>
      <c r="B924" s="96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  <c r="AD924" s="97"/>
    </row>
    <row r="925">
      <c r="A925" s="36"/>
      <c r="B925" s="96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  <c r="AD925" s="97"/>
    </row>
    <row r="926">
      <c r="A926" s="36"/>
      <c r="B926" s="96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  <c r="AD926" s="97"/>
    </row>
    <row r="927">
      <c r="A927" s="36"/>
      <c r="B927" s="96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  <c r="AD927" s="97"/>
    </row>
    <row r="928">
      <c r="A928" s="36"/>
      <c r="B928" s="96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  <c r="AD928" s="97"/>
    </row>
    <row r="929">
      <c r="A929" s="36"/>
      <c r="B929" s="96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  <c r="AD929" s="97"/>
    </row>
    <row r="930">
      <c r="A930" s="36"/>
      <c r="B930" s="96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  <c r="AD930" s="97"/>
    </row>
    <row r="931">
      <c r="A931" s="36"/>
      <c r="B931" s="96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7"/>
    </row>
    <row r="932">
      <c r="A932" s="36"/>
      <c r="B932" s="96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  <c r="AD932" s="97"/>
    </row>
    <row r="933">
      <c r="A933" s="36"/>
      <c r="B933" s="96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  <c r="AD933" s="97"/>
    </row>
    <row r="934">
      <c r="A934" s="36"/>
      <c r="B934" s="96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  <c r="AD934" s="97"/>
    </row>
    <row r="935">
      <c r="A935" s="36"/>
      <c r="B935" s="96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  <c r="AD935" s="97"/>
    </row>
    <row r="936">
      <c r="A936" s="36"/>
      <c r="B936" s="96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  <c r="AD936" s="97"/>
    </row>
    <row r="937">
      <c r="A937" s="36"/>
      <c r="B937" s="96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</row>
    <row r="938">
      <c r="A938" s="36"/>
      <c r="B938" s="96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  <c r="AD938" s="97"/>
    </row>
    <row r="939">
      <c r="A939" s="36"/>
      <c r="B939" s="96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  <c r="AD939" s="97"/>
    </row>
    <row r="940">
      <c r="A940" s="36"/>
      <c r="B940" s="96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  <c r="AD940" s="97"/>
    </row>
    <row r="941">
      <c r="A941" s="36"/>
      <c r="B941" s="96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  <c r="AD941" s="97"/>
    </row>
    <row r="942">
      <c r="A942" s="36"/>
      <c r="B942" s="96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  <c r="AD942" s="97"/>
    </row>
    <row r="943">
      <c r="A943" s="36"/>
      <c r="B943" s="96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</row>
    <row r="944">
      <c r="A944" s="36"/>
      <c r="B944" s="96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</row>
    <row r="945">
      <c r="A945" s="36"/>
      <c r="B945" s="96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  <c r="AD945" s="97"/>
    </row>
    <row r="946">
      <c r="A946" s="36"/>
      <c r="B946" s="96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  <c r="AD946" s="97"/>
    </row>
    <row r="947">
      <c r="A947" s="36"/>
      <c r="B947" s="96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  <c r="AD947" s="97"/>
    </row>
    <row r="948">
      <c r="A948" s="36"/>
      <c r="B948" s="96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  <c r="AD948" s="97"/>
    </row>
    <row r="949">
      <c r="A949" s="36"/>
      <c r="B949" s="96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  <c r="AD949" s="97"/>
    </row>
    <row r="950">
      <c r="A950" s="36"/>
      <c r="B950" s="96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  <c r="AD950" s="97"/>
    </row>
    <row r="951">
      <c r="A951" s="36"/>
      <c r="B951" s="96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  <c r="AD951" s="97"/>
    </row>
    <row r="952">
      <c r="A952" s="36"/>
      <c r="B952" s="96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7"/>
    </row>
    <row r="953">
      <c r="A953" s="36"/>
      <c r="B953" s="96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  <c r="AD953" s="97"/>
    </row>
    <row r="954">
      <c r="A954" s="36"/>
      <c r="B954" s="96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  <c r="AD954" s="97"/>
    </row>
    <row r="955">
      <c r="A955" s="36"/>
      <c r="B955" s="96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  <c r="AD955" s="97"/>
    </row>
    <row r="956">
      <c r="A956" s="36"/>
      <c r="B956" s="96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  <c r="AD956" s="97"/>
    </row>
    <row r="957">
      <c r="A957" s="36"/>
      <c r="B957" s="96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  <c r="AD957" s="97"/>
    </row>
    <row r="958">
      <c r="A958" s="36"/>
      <c r="B958" s="96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  <c r="AD958" s="97"/>
    </row>
    <row r="959">
      <c r="A959" s="36"/>
      <c r="B959" s="96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  <c r="AD959" s="97"/>
    </row>
    <row r="960">
      <c r="A960" s="36"/>
      <c r="B960" s="96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  <c r="AD960" s="97"/>
    </row>
    <row r="961">
      <c r="A961" s="36"/>
      <c r="B961" s="96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</row>
    <row r="962">
      <c r="A962" s="36"/>
      <c r="B962" s="96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  <c r="AD962" s="97"/>
    </row>
    <row r="963">
      <c r="A963" s="36"/>
      <c r="B963" s="96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</row>
    <row r="964">
      <c r="A964" s="36"/>
      <c r="B964" s="96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  <c r="AD964" s="97"/>
    </row>
    <row r="965">
      <c r="A965" s="36"/>
      <c r="B965" s="96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  <c r="AD965" s="97"/>
    </row>
    <row r="966">
      <c r="A966" s="36"/>
      <c r="B966" s="96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</row>
    <row r="967">
      <c r="A967" s="36"/>
      <c r="B967" s="96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  <c r="AD967" s="97"/>
    </row>
    <row r="968">
      <c r="A968" s="36"/>
      <c r="B968" s="96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  <c r="AD968" s="97"/>
    </row>
    <row r="969">
      <c r="A969" s="36"/>
      <c r="B969" s="96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  <c r="AD969" s="97"/>
    </row>
    <row r="970">
      <c r="A970" s="36"/>
      <c r="B970" s="96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</row>
    <row r="971">
      <c r="A971" s="36"/>
      <c r="B971" s="96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  <c r="AD971" s="97"/>
    </row>
    <row r="972">
      <c r="A972" s="36"/>
      <c r="B972" s="96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  <c r="AD972" s="97"/>
    </row>
    <row r="973">
      <c r="A973" s="36"/>
      <c r="B973" s="96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</row>
    <row r="974">
      <c r="A974" s="36"/>
      <c r="B974" s="96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7"/>
    </row>
    <row r="975">
      <c r="A975" s="36"/>
      <c r="B975" s="96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  <c r="AD975" s="97"/>
    </row>
    <row r="976">
      <c r="A976" s="36"/>
      <c r="B976" s="96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  <c r="AD976" s="97"/>
    </row>
    <row r="977">
      <c r="A977" s="36"/>
      <c r="B977" s="96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  <c r="AD977" s="97"/>
    </row>
    <row r="978">
      <c r="A978" s="36"/>
      <c r="B978" s="96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  <c r="AD978" s="97"/>
    </row>
    <row r="979">
      <c r="A979" s="36"/>
      <c r="B979" s="96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  <c r="AD979" s="97"/>
    </row>
    <row r="980">
      <c r="A980" s="36"/>
      <c r="B980" s="96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  <c r="AD980" s="97"/>
    </row>
    <row r="981">
      <c r="A981" s="36"/>
      <c r="B981" s="96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  <c r="AD981" s="97"/>
    </row>
    <row r="982">
      <c r="A982" s="36"/>
      <c r="B982" s="96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  <c r="AD982" s="97"/>
    </row>
    <row r="983">
      <c r="A983" s="36"/>
      <c r="B983" s="96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  <c r="AD983" s="97"/>
    </row>
    <row r="984">
      <c r="A984" s="36"/>
      <c r="B984" s="96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  <c r="AD984" s="97"/>
    </row>
    <row r="985">
      <c r="A985" s="36"/>
      <c r="B985" s="96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  <c r="AD985" s="97"/>
    </row>
    <row r="986">
      <c r="A986" s="36"/>
      <c r="B986" s="96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132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7"/>
    </row>
    <row r="987">
      <c r="A987" s="36"/>
      <c r="B987" s="96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132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  <c r="AD987" s="97"/>
    </row>
    <row r="988">
      <c r="A988" s="36"/>
      <c r="B988" s="96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132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  <c r="AD988" s="97"/>
    </row>
    <row r="989">
      <c r="A989" s="36"/>
      <c r="B989" s="96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132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</row>
    <row r="990">
      <c r="A990" s="36"/>
      <c r="B990" s="96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132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  <c r="AD990" s="97"/>
    </row>
    <row r="991">
      <c r="A991" s="36"/>
      <c r="B991" s="96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132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  <c r="AD991" s="97"/>
    </row>
    <row r="992">
      <c r="A992" s="36"/>
      <c r="B992" s="96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132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  <c r="AD992" s="97"/>
    </row>
    <row r="993">
      <c r="A993" s="36"/>
      <c r="B993" s="96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132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  <c r="AD993" s="97"/>
    </row>
    <row r="994">
      <c r="A994" s="36"/>
      <c r="B994" s="96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132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</row>
  </sheetData>
  <mergeCells count="13">
    <mergeCell ref="A1:A2"/>
    <mergeCell ref="A24:A25"/>
    <mergeCell ref="B24:E24"/>
    <mergeCell ref="F24:I24"/>
    <mergeCell ref="J24:M24"/>
    <mergeCell ref="N24:Q24"/>
    <mergeCell ref="B1:E1"/>
    <mergeCell ref="F1:I1"/>
    <mergeCell ref="J1:M1"/>
    <mergeCell ref="N1:Q1"/>
    <mergeCell ref="R1:U1"/>
    <mergeCell ref="V1:Y1"/>
    <mergeCell ref="Z1:AC1"/>
  </mergeCells>
  <printOptions/>
  <pageMargins bottom="0.75" footer="0.0" header="0.0" left="0.7" right="0.7" top="0.75"/>
  <pageSetup paperSize="9" orientation="landscape"/>
  <drawing r:id="rId1"/>
</worksheet>
</file>